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0" yWindow="600" windowWidth="34200" windowHeight="20760" tabRatio="600" firstSheet="0" activeTab="1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AC2025" sheetId="2" state="visible" r:id="rId2"/>
    <sheet xmlns:r="http://schemas.openxmlformats.org/officeDocument/2006/relationships" name="Solicitações ao Cliente" sheetId="3" state="visible" r:id="rId3"/>
    <sheet xmlns:r="http://schemas.openxmlformats.org/officeDocument/2006/relationships" name="Report — Resumo Executivo" sheetId="4" state="visible" r:id="rId4"/>
    <sheet xmlns:r="http://schemas.openxmlformats.org/officeDocument/2006/relationships" name="Projetos com Gerentes" sheetId="5" state="visible" r:id="rId5"/>
    <sheet xmlns:r="http://schemas.openxmlformats.org/officeDocument/2006/relationships" name="Histórico de Projetos" sheetId="6" state="visible" r:id="rId6"/>
    <sheet xmlns:r="http://schemas.openxmlformats.org/officeDocument/2006/relationships" name="Alertas &amp; Lembretes" sheetId="7" state="visible" r:id="rId7"/>
    <sheet xmlns:r="http://schemas.openxmlformats.org/officeDocument/2006/relationships" name="Projetos TP Status-FY25" sheetId="8" state="visible" r:id="rId8"/>
    <sheet xmlns:r="http://schemas.openxmlformats.org/officeDocument/2006/relationships" name="Projetos TP Status-FY26 e 27" sheetId="9" state="visible" r:id="rId9"/>
    <sheet xmlns:r="http://schemas.openxmlformats.org/officeDocument/2006/relationships" name="Fórmulas Úteis" sheetId="10" state="visible" r:id="rId10"/>
    <sheet xmlns:r="http://schemas.openxmlformats.org/officeDocument/2006/relationships" name="Painel de Solicitações" sheetId="11" state="visible" r:id="rId11"/>
    <sheet xmlns:r="http://schemas.openxmlformats.org/officeDocument/2006/relationships" name="Templates de E-mail" sheetId="12" state="visible" r:id="rId12"/>
    <sheet xmlns:r="http://schemas.openxmlformats.org/officeDocument/2006/relationships" name="Ícones" sheetId="13" state="visible" r:id="rId13"/>
    <sheet xmlns:r="http://schemas.openxmlformats.org/officeDocument/2006/relationships" name="Doc Fórmulas" sheetId="14" state="visible" r:id="rId14"/>
  </sheets>
  <externalReferences>
    <externalReference xmlns:r="http://schemas.openxmlformats.org/officeDocument/2006/relationships" r:id="rId15"/>
  </externalReferences>
  <definedNames/>
  <calcPr calcId="191029" fullCalcOnLoad="1"/>
</workbook>
</file>

<file path=xl/styles.xml><?xml version="1.0" encoding="utf-8"?>
<styleSheet xmlns="http://schemas.openxmlformats.org/spreadsheetml/2006/main">
  <numFmts count="2">
    <numFmt numFmtId="164" formatCode="dd/mm/yy"/>
    <numFmt numFmtId="165" formatCode="yyyy\-mm\-dd\ h:mm:ss"/>
  </numFmts>
  <fonts count="64">
    <font>
      <name val="Calibri"/>
      <family val="2"/>
      <color theme="1"/>
      <sz val="11"/>
      <scheme val="minor"/>
    </font>
    <font>
      <name val="Calibri"/>
      <family val="2"/>
      <i val="1"/>
      <color rgb="FFA8C4D8"/>
      <sz val="9"/>
    </font>
    <font>
      <name val="Calibri"/>
      <family val="2"/>
      <b val="1"/>
      <color rgb="FFA8C4D8"/>
      <sz val="9"/>
    </font>
    <font>
      <name val="Calibri"/>
      <family val="2"/>
      <b val="1"/>
      <color rgb="FFFFFFFF"/>
      <sz val="11"/>
    </font>
    <font>
      <name val="Calibri"/>
      <family val="2"/>
      <b val="1"/>
      <color rgb="FFFFFFFF"/>
      <sz val="9"/>
    </font>
    <font>
      <name val="Calibri"/>
      <family val="2"/>
      <b val="1"/>
      <color rgb="FF3A6186"/>
      <sz val="10"/>
    </font>
    <font>
      <name val="Calibri"/>
      <family val="2"/>
      <color rgb="FF3A6186"/>
      <sz val="9"/>
    </font>
    <font>
      <name val="Calibri"/>
      <family val="2"/>
      <color rgb="FF111827"/>
      <sz val="9"/>
    </font>
    <font>
      <name val="Calibri"/>
      <family val="2"/>
      <b val="1"/>
      <color rgb="FF374151"/>
      <sz val="9"/>
    </font>
    <font>
      <name val="Calibri"/>
      <family val="2"/>
      <b val="1"/>
      <color rgb="FFFFFFFF"/>
      <sz val="10"/>
    </font>
    <font>
      <name val="Calibri"/>
      <family val="2"/>
      <b val="1"/>
      <color rgb="FFA8C4D8"/>
      <sz val="8"/>
    </font>
    <font>
      <name val="Calibri"/>
      <family val="2"/>
      <color rgb="FF111827"/>
      <sz val="10"/>
    </font>
    <font>
      <name val="Calibri"/>
      <family val="2"/>
      <b val="1"/>
      <color rgb="FF6FA9A7"/>
      <sz val="9"/>
    </font>
    <font>
      <name val="Calibri"/>
      <family val="2"/>
      <b val="1"/>
      <color rgb="FF52A46C"/>
      <sz val="9"/>
    </font>
    <font>
      <name val="Calibri"/>
      <family val="2"/>
      <b val="1"/>
      <color rgb="FFE8A838"/>
      <sz val="9"/>
    </font>
    <font>
      <name val="Calibri"/>
      <family val="2"/>
      <b val="1"/>
      <color rgb="FF5B8DB8"/>
      <sz val="9"/>
    </font>
    <font>
      <name val="Calibri"/>
      <family val="2"/>
      <b val="1"/>
      <color rgb="FF3A6186"/>
      <sz val="9"/>
    </font>
    <font>
      <name val="Calibri"/>
      <family val="2"/>
      <color rgb="FF374151"/>
      <sz val="9"/>
    </font>
    <font>
      <name val="Calibri"/>
      <family val="2"/>
      <b val="1"/>
      <color rgb="FF4A7FA5"/>
      <sz val="9"/>
    </font>
    <font>
      <name val="Calibri"/>
      <family val="2"/>
      <b val="1"/>
      <color rgb="FF9CA3AF"/>
      <sz val="9"/>
    </font>
    <font>
      <name val="Calibri"/>
      <family val="2"/>
      <b val="1"/>
      <color rgb="FF2563A0"/>
      <sz val="9"/>
    </font>
    <font>
      <name val="Calibri"/>
      <family val="2"/>
      <b val="1"/>
      <color rgb="FFFFFFFF"/>
      <sz val="14"/>
    </font>
    <font>
      <name val="Calibri"/>
      <family val="2"/>
      <b val="1"/>
      <color rgb="FF111827"/>
      <sz val="9"/>
    </font>
    <font>
      <name val="Calibri"/>
      <family val="2"/>
      <color rgb="FFA8C4D8"/>
      <sz val="9"/>
    </font>
    <font>
      <name val="Calibri"/>
      <family val="2"/>
      <b val="1"/>
      <color rgb="FFFFFFFF"/>
      <sz val="15"/>
    </font>
    <font>
      <name val="Calibri"/>
      <family val="2"/>
      <color rgb="FF6B7280"/>
      <sz val="9"/>
    </font>
    <font>
      <name val="Calibri"/>
      <family val="2"/>
      <color rgb="FF111827"/>
      <sz val="14"/>
    </font>
    <font>
      <name val="Calibri"/>
      <family val="2"/>
      <b val="1"/>
      <color rgb="FF1A4A7A"/>
      <sz val="9"/>
    </font>
    <font>
      <name val="Calibri"/>
      <family val="2"/>
      <b val="1"/>
      <color rgb="FF8BA5BC"/>
      <sz val="9"/>
    </font>
    <font>
      <name val="Calibri"/>
      <family val="2"/>
      <b val="1"/>
      <color rgb="FF4CAF7D"/>
      <sz val="9"/>
    </font>
    <font>
      <name val="Calibri"/>
      <family val="2"/>
      <b val="1"/>
      <color rgb="FF2E7D52"/>
      <sz val="9"/>
    </font>
    <font>
      <name val="Calibri"/>
      <family val="2"/>
      <b val="1"/>
      <color rgb="FF1A5C35"/>
      <sz val="9"/>
    </font>
    <font>
      <name val="Calibri"/>
      <family val="2"/>
      <b val="1"/>
      <color rgb="FF7DAA8C"/>
      <sz val="9"/>
    </font>
    <font>
      <name val="Calibri"/>
      <family val="2"/>
      <b val="1"/>
      <color rgb="FFC47D18"/>
      <sz val="9"/>
    </font>
    <font>
      <name val="Calibri"/>
      <family val="2"/>
      <b val="1"/>
      <color rgb="FF9A5D0A"/>
      <sz val="9"/>
    </font>
    <font>
      <name val="Calibri"/>
      <family val="2"/>
      <b val="1"/>
      <color rgb="FFCBA96E"/>
      <sz val="9"/>
    </font>
    <font>
      <name val="Calibri"/>
      <family val="2"/>
      <b val="1"/>
      <color rgb="FF8B7CC8"/>
      <sz val="9"/>
    </font>
    <font>
      <name val="Calibri"/>
      <family val="2"/>
      <b val="1"/>
      <color rgb="FF6A52B3"/>
      <sz val="9"/>
    </font>
    <font>
      <name val="Calibri"/>
      <family val="2"/>
      <b val="1"/>
      <color rgb="FF4A3490"/>
      <sz val="9"/>
    </font>
    <font>
      <name val="Calibri"/>
      <family val="2"/>
      <b val="1"/>
      <color rgb="FF9D94BF"/>
      <sz val="9"/>
    </font>
    <font>
      <name val="Calibri"/>
      <family val="2"/>
      <b val="1"/>
      <color rgb="FF3AAFA9"/>
      <sz val="9"/>
    </font>
    <font>
      <name val="Calibri"/>
      <family val="2"/>
      <b val="1"/>
      <color rgb="FF1F8080"/>
      <sz val="9"/>
    </font>
    <font>
      <name val="Calibri"/>
      <family val="2"/>
      <b val="1"/>
      <color rgb="FF0D5C5C"/>
      <sz val="9"/>
    </font>
    <font>
      <name val="Calibri"/>
      <family val="2"/>
      <b val="1"/>
      <color rgb="FFFFFFFF"/>
      <sz val="15"/>
    </font>
    <font>
      <name val="Calibri"/>
      <family val="2"/>
      <i val="1"/>
      <color rgb="FFC8D8F0"/>
      <sz val="9"/>
    </font>
    <font>
      <name val="Calibri"/>
      <family val="2"/>
      <b val="1"/>
      <color rgb="FFFFFFFF"/>
      <sz val="10"/>
    </font>
    <font>
      <name val="Calibri"/>
      <family val="2"/>
      <b val="1"/>
      <color rgb="FFFFFFFF"/>
      <sz val="9"/>
    </font>
    <font>
      <name val="Calibri"/>
      <family val="2"/>
      <color rgb="FF2D3748"/>
      <sz val="10"/>
    </font>
    <font>
      <name val="Calibri"/>
      <family val="2"/>
      <b val="1"/>
      <color rgb="FFFFFFFF"/>
      <sz val="16"/>
    </font>
    <font>
      <name val="Calibri"/>
      <family val="2"/>
      <b val="1"/>
      <color rgb="FFFFFFFF"/>
      <sz val="11"/>
    </font>
    <font>
      <name val="Calibri"/>
      <family val="2"/>
      <b val="1"/>
      <color rgb="FFDDDDDD"/>
      <sz val="9"/>
    </font>
    <font>
      <name val="Calibri"/>
      <family val="2"/>
      <b val="1"/>
      <color rgb="FFFFFFFF"/>
      <sz val="14"/>
    </font>
    <font>
      <name val="Calibri"/>
      <family val="2"/>
      <b val="1"/>
      <color rgb="FFFFFFFF"/>
      <sz val="12"/>
    </font>
    <font>
      <name val="Arial Rounded MT Bold"/>
      <family val="2"/>
      <color theme="1"/>
      <sz val="10"/>
    </font>
    <font>
      <name val="Segoe UI Light"/>
      <color rgb="00111827"/>
      <sz val="24"/>
    </font>
    <font>
      <name val="Segoe UI Semibold"/>
      <color rgb="00111827"/>
      <sz val="20"/>
    </font>
    <font>
      <name val="Segoe UI"/>
      <b val="1"/>
      <color rgb="006B7280"/>
      <sz val="9"/>
    </font>
    <font>
      <name val="Segoe UI Semibold"/>
      <color rgb="00111827"/>
      <sz val="14"/>
    </font>
    <font>
      <name val="Segoe UI"/>
      <b val="1"/>
      <color rgb="00111827"/>
      <sz val="10"/>
    </font>
    <font>
      <b val="1"/>
      <sz val="16"/>
    </font>
    <font>
      <b val="1"/>
      <color rgb="0006B6D4"/>
      <sz val="12"/>
    </font>
    <font>
      <name val="Courier New"/>
      <b val="1"/>
    </font>
    <font>
      <name val="Segoe UI"/>
      <b val="1"/>
      <color rgb="00F9FAFB"/>
      <sz val="9"/>
    </font>
    <font>
      <name val="Segoe UI"/>
      <color rgb="00374151"/>
      <sz val="9"/>
    </font>
  </fonts>
  <fills count="71">
    <fill>
      <patternFill/>
    </fill>
    <fill>
      <patternFill patternType="gray125"/>
    </fill>
    <fill>
      <patternFill patternType="solid">
        <fgColor rgb="FFF3F2EF"/>
      </patternFill>
    </fill>
    <fill>
      <patternFill patternType="solid">
        <fgColor rgb="FF1E2D3D"/>
      </patternFill>
    </fill>
    <fill>
      <patternFill patternType="solid">
        <fgColor rgb="FF364F6B"/>
      </patternFill>
    </fill>
    <fill>
      <patternFill patternType="solid">
        <fgColor rgb="FF1A3A4A"/>
      </patternFill>
    </fill>
    <fill>
      <patternFill patternType="solid">
        <fgColor rgb="FFD8EDED"/>
      </patternFill>
    </fill>
    <fill>
      <patternFill patternType="solid">
        <fgColor rgb="FFD6E8F5"/>
      </patternFill>
    </fill>
    <fill>
      <patternFill patternType="solid">
        <fgColor rgb="FF3A6186"/>
      </patternFill>
    </fill>
    <fill>
      <patternFill patternType="solid">
        <fgColor rgb="FF2E4057"/>
      </patternFill>
    </fill>
    <fill>
      <patternFill patternType="solid">
        <fgColor rgb="FFECEAE6"/>
      </patternFill>
    </fill>
    <fill>
      <patternFill patternType="solid">
        <fgColor rgb="FFFFFFFF"/>
      </patternFill>
    </fill>
    <fill>
      <patternFill patternType="solid">
        <fgColor rgb="FFB3D4EE"/>
      </patternFill>
    </fill>
    <fill>
      <patternFill patternType="solid">
        <fgColor rgb="FF1565C0"/>
      </patternFill>
    </fill>
    <fill>
      <patternFill patternType="solid">
        <fgColor rgb="FF334455"/>
      </patternFill>
    </fill>
    <fill>
      <patternFill patternType="solid">
        <fgColor rgb="FFD4EDDA"/>
      </patternFill>
    </fill>
    <fill>
      <patternFill patternType="solid">
        <fgColor rgb="FFFDF0D5"/>
      </patternFill>
    </fill>
    <fill>
      <patternFill patternType="solid">
        <fgColor rgb="FFD6E4F0"/>
      </patternFill>
    </fill>
    <fill>
      <patternFill patternType="solid">
        <fgColor rgb="FFF3F4F6"/>
      </patternFill>
    </fill>
    <fill>
      <patternFill patternType="solid">
        <fgColor rgb="FFC0392B"/>
      </patternFill>
    </fill>
    <fill>
      <patternFill patternType="solid">
        <fgColor rgb="FFEFF5FB"/>
      </patternFill>
    </fill>
    <fill>
      <patternFill patternType="solid">
        <fgColor rgb="FF254060"/>
      </patternFill>
    </fill>
    <fill>
      <patternFill patternType="solid">
        <fgColor rgb="FF1E3A20"/>
      </patternFill>
    </fill>
    <fill>
      <patternFill patternType="solid">
        <fgColor rgb="FF1A4A1A"/>
      </patternFill>
    </fill>
    <fill>
      <patternFill patternType="solid">
        <fgColor rgb="FF0D3A3A"/>
      </patternFill>
    </fill>
    <fill>
      <patternFill patternType="solid">
        <fgColor rgb="FF1E2D1E"/>
      </patternFill>
    </fill>
    <fill>
      <patternFill patternType="solid">
        <fgColor rgb="FF334D66"/>
      </patternFill>
    </fill>
    <fill>
      <patternFill patternType="solid">
        <fgColor rgb="FF7FB3D9"/>
      </patternFill>
    </fill>
    <fill>
      <patternFill patternType="solid">
        <fgColor rgb="FFDAE6F0"/>
      </patternFill>
    </fill>
    <fill>
      <patternFill patternType="solid">
        <fgColor rgb="FFD4EFDF"/>
      </patternFill>
    </fill>
    <fill>
      <patternFill patternType="solid">
        <fgColor rgb="FFA9DFBF"/>
      </patternFill>
    </fill>
    <fill>
      <patternFill patternType="solid">
        <fgColor rgb="FF82C4A0"/>
      </patternFill>
    </fill>
    <fill>
      <patternFill patternType="solid">
        <fgColor rgb="FFDAEEE3"/>
      </patternFill>
    </fill>
    <fill>
      <patternFill patternType="solid">
        <fgColor rgb="FFFDF3D6"/>
      </patternFill>
    </fill>
    <fill>
      <patternFill patternType="solid">
        <fgColor rgb="FFFAE0A0"/>
      </patternFill>
    </fill>
    <fill>
      <patternFill patternType="solid">
        <fgColor rgb="FFF5C96A"/>
      </patternFill>
    </fill>
    <fill>
      <patternFill patternType="solid">
        <fgColor rgb="FFF9EDD4"/>
      </patternFill>
    </fill>
    <fill>
      <patternFill patternType="solid">
        <fgColor rgb="FFE8E5F5"/>
      </patternFill>
    </fill>
    <fill>
      <patternFill patternType="solid">
        <fgColor rgb="FFC9C4E8"/>
      </patternFill>
    </fill>
    <fill>
      <patternFill patternType="solid">
        <fgColor rgb="FFA89CD8"/>
      </patternFill>
    </fill>
    <fill>
      <patternFill patternType="solid">
        <fgColor rgb="FFE5E2F0"/>
      </patternFill>
    </fill>
    <fill>
      <patternFill patternType="solid">
        <fgColor rgb="FFD4F0EE"/>
      </patternFill>
    </fill>
    <fill>
      <patternFill patternType="solid">
        <fgColor rgb="FFA8DEDD"/>
      </patternFill>
    </fill>
    <fill>
      <patternFill patternType="solid">
        <fgColor rgb="FF7FCECE"/>
      </patternFill>
    </fill>
    <fill>
      <patternFill patternType="solid">
        <fgColor rgb="FF1E3A5F"/>
      </patternFill>
    </fill>
    <fill>
      <patternFill patternType="solid">
        <fgColor rgb="FF2C4E7E"/>
      </patternFill>
    </fill>
    <fill>
      <patternFill patternType="solid">
        <fgColor rgb="FFF0F4FA"/>
      </patternFill>
    </fill>
    <fill>
      <patternFill patternType="solid">
        <fgColor rgb="FF2D6A4F"/>
      </patternFill>
    </fill>
    <fill>
      <patternFill patternType="solid">
        <fgColor rgb="FF5B4FCF"/>
      </patternFill>
    </fill>
    <fill>
      <patternFill patternType="solid">
        <fgColor rgb="FFB7410E"/>
      </patternFill>
    </fill>
    <fill>
      <patternFill patternType="solid">
        <fgColor rgb="FF5C4033"/>
      </patternFill>
    </fill>
    <fill>
      <patternFill patternType="solid">
        <fgColor rgb="FF1A6B8A"/>
      </patternFill>
    </fill>
    <fill>
      <patternFill patternType="solid">
        <fgColor rgb="FF0B3D91"/>
      </patternFill>
    </fill>
    <fill>
      <patternFill patternType="solid">
        <fgColor rgb="FF6B2737"/>
      </patternFill>
    </fill>
    <fill>
      <patternFill patternType="solid">
        <fgColor rgb="FF7B5C1E"/>
      </patternFill>
    </fill>
    <fill>
      <patternFill patternType="solid">
        <fgColor rgb="FF274D6B"/>
      </patternFill>
    </fill>
    <fill>
      <patternFill patternType="solid">
        <fgColor rgb="FF374151"/>
      </patternFill>
    </fill>
    <fill>
      <patternFill patternType="solid">
        <fgColor rgb="FFFFFFFF"/>
      </patternFill>
    </fill>
    <fill>
      <patternFill patternType="solid">
        <fgColor rgb="FFF7F9FC"/>
      </patternFill>
    </fill>
    <fill>
      <patternFill patternType="solid">
        <fgColor rgb="FF23523D"/>
        <bgColor indexed="64"/>
      </patternFill>
    </fill>
    <fill>
      <patternFill patternType="solid">
        <fgColor rgb="FF3B348A"/>
        <bgColor indexed="64"/>
      </patternFill>
    </fill>
    <fill>
      <patternFill patternType="solid">
        <fgColor rgb="FF72280A"/>
        <bgColor indexed="64"/>
      </patternFill>
    </fill>
    <fill>
      <patternFill patternType="solid">
        <fgColor rgb="FF432E25"/>
        <bgColor indexed="64"/>
      </patternFill>
    </fill>
    <fill>
      <patternFill patternType="solid">
        <fgColor rgb="FF124D63"/>
        <bgColor indexed="64"/>
      </patternFill>
    </fill>
    <fill>
      <patternFill patternType="solid">
        <fgColor rgb="FF4A1B26"/>
        <bgColor indexed="64"/>
      </patternFill>
    </fill>
    <fill>
      <patternFill patternType="solid">
        <fgColor rgb="FF4B3812"/>
        <bgColor indexed="64"/>
      </patternFill>
    </fill>
    <fill>
      <patternFill patternType="solid">
        <fgColor rgb="FF182F42"/>
        <bgColor indexed="64"/>
      </patternFill>
    </fill>
    <fill>
      <patternFill patternType="solid">
        <fgColor rgb="FF272E3A"/>
        <bgColor indexed="64"/>
      </patternFill>
    </fill>
    <fill>
      <patternFill patternType="solid">
        <fgColor rgb="00F3F4F6"/>
      </patternFill>
    </fill>
    <fill>
      <patternFill patternType="solid">
        <fgColor rgb="00FFFFFF"/>
      </patternFill>
    </fill>
    <fill>
      <patternFill patternType="solid">
        <fgColor rgb="001F2937"/>
      </patternFill>
    </fill>
  </fills>
  <borders count="43">
    <border>
      <left/>
      <right/>
      <top/>
      <bottom/>
      <diagonal/>
    </border>
    <border>
      <left/>
      <right/>
      <top/>
      <bottom style="thin">
        <color rgb="FFD1CEC9"/>
      </bottom>
      <diagonal/>
    </border>
    <border>
      <left style="thin">
        <color rgb="FF1A2A3A"/>
      </left>
      <right style="thin">
        <color rgb="FF1A2A3A"/>
      </right>
      <top style="thin">
        <color rgb="FF1A2A3A"/>
      </top>
      <bottom style="thin">
        <color rgb="FF1A2A3A"/>
      </bottom>
      <diagonal/>
    </border>
    <border>
      <left style="thin">
        <color rgb="FF52A46C"/>
      </left>
      <right style="thin">
        <color rgb="FF52A46C"/>
      </right>
      <top style="thin">
        <color rgb="FF52A46C"/>
      </top>
      <bottom style="thin">
        <color rgb="FF52A46C"/>
      </bottom>
      <diagonal/>
    </border>
    <border>
      <left style="thin">
        <color rgb="FFE8A838"/>
      </left>
      <right style="thin">
        <color rgb="FFE8A838"/>
      </right>
      <top style="thin">
        <color rgb="FFE8A838"/>
      </top>
      <bottom style="thin">
        <color rgb="FFE8A838"/>
      </bottom>
      <diagonal/>
    </border>
    <border>
      <left style="thin">
        <color rgb="FF5B8DB8"/>
      </left>
      <right style="thin">
        <color rgb="FF5B8DB8"/>
      </right>
      <top style="thin">
        <color rgb="FF5B8DB8"/>
      </top>
      <bottom style="thin">
        <color rgb="FF5B8DB8"/>
      </bottom>
      <diagonal/>
    </border>
    <border>
      <left style="thin">
        <color rgb="FF9CA3AF"/>
      </left>
      <right style="thin">
        <color rgb="FF9CA3AF"/>
      </right>
      <top style="thin">
        <color rgb="FF9CA3AF"/>
      </top>
      <bottom style="thin">
        <color rgb="FF9CA3AF"/>
      </bottom>
      <diagonal/>
    </border>
    <border>
      <left style="thin">
        <color rgb="FF374151"/>
      </left>
      <right style="thin">
        <color rgb="FF374151"/>
      </right>
      <top style="thin">
        <color rgb="FF374151"/>
      </top>
      <bottom style="thin">
        <color rgb="FF374151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rgb="FFFFFFFF"/>
      </bottom>
      <diagonal/>
    </border>
    <border>
      <left style="thin">
        <color rgb="FFD0D7E3"/>
      </left>
      <right style="thin">
        <color rgb="FFD0D7E3"/>
      </right>
      <top style="thin">
        <color rgb="FFD0D7E3"/>
      </top>
      <bottom style="thin">
        <color rgb="FFD0D7E3"/>
      </bottom>
      <diagonal/>
    </border>
    <border>
      <left/>
      <right style="medium">
        <color rgb="FFFFFFFF"/>
      </right>
      <top/>
      <bottom/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top style="thin">
        <color rgb="00E5E7EB"/>
      </top>
    </border>
    <border>
      <left style="thick">
        <color rgb="0006B6D4"/>
      </left>
      <top style="thin">
        <color rgb="00E5E7EB"/>
      </top>
    </border>
    <border>
      <right style="thin">
        <color rgb="00E5E7EB"/>
      </right>
      <top style="thin">
        <color rgb="00E5E7EB"/>
      </top>
    </border>
    <border>
      <left style="thick">
        <color rgb="0006B6D4"/>
      </left>
      <top/>
      <bottom/>
    </border>
    <border>
      <right style="thin">
        <color rgb="00E5E7EB"/>
      </right>
      <top/>
      <bottom/>
    </border>
    <border>
      <bottom style="thin">
        <color rgb="00E5E7EB"/>
      </bottom>
    </border>
    <border>
      <left style="thick">
        <color rgb="0006B6D4"/>
      </left>
      <bottom style="thin">
        <color rgb="00E5E7EB"/>
      </bottom>
    </border>
    <border>
      <right style="thin">
        <color rgb="00E5E7EB"/>
      </right>
      <bottom style="thin">
        <color rgb="00E5E7EB"/>
      </bottom>
    </border>
    <border>
      <left style="thick">
        <color rgb="0006B6D4"/>
      </left>
      <right style="thin">
        <color rgb="00E5E7EB"/>
      </right>
      <top style="thin">
        <color rgb="00E5E7EB"/>
      </top>
      <bottom/>
    </border>
    <border>
      <left/>
      <right/>
      <top style="thin">
        <color rgb="00E5E7EB"/>
      </top>
      <bottom/>
      <diagonal/>
    </border>
    <border>
      <left style="thick">
        <color rgb="0006B6D4"/>
      </left>
      <right/>
      <top/>
      <bottom/>
      <diagonal/>
    </border>
    <border>
      <left/>
      <right style="thin">
        <color rgb="00E5E7EB"/>
      </right>
      <top style="thin">
        <color rgb="00E5E7EB"/>
      </top>
      <bottom/>
      <diagonal/>
    </border>
    <border>
      <left/>
      <right style="thin">
        <color rgb="00E5E7EB"/>
      </right>
      <top/>
      <bottom/>
      <diagonal/>
    </border>
    <border>
      <left style="thick">
        <color rgb="0006B6D4"/>
      </left>
      <right style="thin">
        <color rgb="00E5E7EB"/>
      </right>
      <top/>
      <bottom/>
    </border>
    <border>
      <left style="thick">
        <color rgb="0010B981"/>
      </left>
      <top style="thin">
        <color rgb="00E5E7EB"/>
      </top>
    </border>
    <border>
      <left style="thick">
        <color rgb="0010B981"/>
      </left>
      <top/>
      <bottom/>
    </border>
    <border>
      <left style="thick">
        <color rgb="0010B981"/>
      </left>
      <bottom style="thin">
        <color rgb="00E5E7EB"/>
      </bottom>
    </border>
    <border>
      <left style="thick">
        <color rgb="0010B981"/>
      </left>
      <right style="thin">
        <color rgb="00E5E7EB"/>
      </right>
      <top style="thin">
        <color rgb="00E5E7EB"/>
      </top>
      <bottom/>
    </border>
    <border>
      <left style="thick">
        <color rgb="0010B981"/>
      </left>
      <right/>
      <top/>
      <bottom/>
      <diagonal/>
    </border>
    <border>
      <left style="thick">
        <color rgb="0010B981"/>
      </left>
      <right style="thin">
        <color rgb="00E5E7EB"/>
      </right>
      <top/>
      <bottom/>
    </border>
    <border>
      <left style="thick">
        <color rgb="00F59E0B"/>
      </left>
      <top style="thin">
        <color rgb="00E5E7EB"/>
      </top>
    </border>
    <border>
      <left style="thick">
        <color rgb="00F59E0B"/>
      </left>
      <top/>
      <bottom/>
    </border>
    <border>
      <left style="thick">
        <color rgb="00F59E0B"/>
      </left>
      <bottom style="thin">
        <color rgb="00E5E7EB"/>
      </bottom>
    </border>
    <border>
      <left style="thick">
        <color rgb="00F59E0B"/>
      </left>
      <right style="thin">
        <color rgb="00E5E7EB"/>
      </right>
      <top style="thin">
        <color rgb="00E5E7EB"/>
      </top>
      <bottom/>
    </border>
    <border>
      <left style="thick">
        <color rgb="00F59E0B"/>
      </left>
      <right/>
      <top/>
      <bottom/>
      <diagonal/>
    </border>
    <border>
      <left style="thick">
        <color rgb="00F59E0B"/>
      </left>
      <right style="thin">
        <color rgb="00E5E7EB"/>
      </right>
      <top/>
      <bottom/>
    </border>
    <border>
      <bottom style="medium">
        <color rgb="00E5E7EB"/>
      </bottom>
    </border>
    <border>
      <bottom style="thin">
        <color rgb="00F3F4F6"/>
      </bottom>
    </border>
    <border>
      <left style="thin">
        <color rgb="00E5E7EB"/>
      </left>
      <right style="thin">
        <color rgb="00E5E7EB"/>
      </right>
      <bottom style="thin">
        <color rgb="00E5E7EB"/>
      </bottom>
    </border>
  </borders>
  <cellStyleXfs count="1">
    <xf numFmtId="0" fontId="0" fillId="0" borderId="0"/>
  </cellStyleXfs>
  <cellXfs count="228">
    <xf numFmtId="0" fontId="0" fillId="0" borderId="0" pivotButton="0" quotePrefix="0" xfId="0"/>
    <xf numFmtId="0" fontId="0" fillId="2" borderId="0" pivotButton="0" quotePrefix="0" xfId="0"/>
    <xf numFmtId="0" fontId="4" fillId="9" borderId="2" applyAlignment="1" pivotButton="0" quotePrefix="0" xfId="0">
      <alignment horizontal="center" vertical="center"/>
    </xf>
    <xf numFmtId="0" fontId="5" fillId="10" borderId="1" applyAlignment="1" pivotButton="0" quotePrefix="0" xfId="0">
      <alignment horizontal="left" vertical="center"/>
    </xf>
    <xf numFmtId="0" fontId="6" fillId="10" borderId="1" applyAlignment="1" pivotButton="0" quotePrefix="0" xfId="0">
      <alignment horizontal="center" vertical="center"/>
    </xf>
    <xf numFmtId="0" fontId="7" fillId="10" borderId="1" applyAlignment="1" pivotButton="0" quotePrefix="0" xfId="0">
      <alignment horizontal="left" vertical="center"/>
    </xf>
    <xf numFmtId="0" fontId="5" fillId="11" borderId="1" applyAlignment="1" pivotButton="0" quotePrefix="0" xfId="0">
      <alignment horizontal="left" vertical="center"/>
    </xf>
    <xf numFmtId="0" fontId="6" fillId="11" borderId="1" applyAlignment="1" pivotButton="0" quotePrefix="0" xfId="0">
      <alignment horizontal="center" vertical="center"/>
    </xf>
    <xf numFmtId="0" fontId="7" fillId="11" borderId="1" applyAlignment="1" pivotButton="0" quotePrefix="0" xfId="0">
      <alignment horizontal="left" vertical="center"/>
    </xf>
    <xf numFmtId="0" fontId="7" fillId="11" borderId="0" applyAlignment="1" pivotButton="0" quotePrefix="0" xfId="0">
      <alignment horizontal="left" vertical="center"/>
    </xf>
    <xf numFmtId="0" fontId="7" fillId="10" borderId="0" applyAlignment="1" pivotButton="0" quotePrefix="0" xfId="0">
      <alignment horizontal="left" vertical="center"/>
    </xf>
    <xf numFmtId="0" fontId="4" fillId="9" borderId="2" applyAlignment="1" pivotButton="0" quotePrefix="0" xfId="0">
      <alignment horizontal="center" vertical="center" wrapText="1"/>
    </xf>
    <xf numFmtId="0" fontId="11" fillId="11" borderId="1" applyAlignment="1" pivotButton="0" quotePrefix="0" xfId="0">
      <alignment horizontal="left" vertical="center"/>
    </xf>
    <xf numFmtId="0" fontId="7" fillId="11" borderId="0" applyAlignment="1" pivotButton="0" quotePrefix="0" xfId="0">
      <alignment horizontal="left" vertical="center" wrapText="1"/>
    </xf>
    <xf numFmtId="0" fontId="13" fillId="15" borderId="3" applyAlignment="1" pivotButton="0" quotePrefix="0" xfId="0">
      <alignment horizontal="center" vertical="center"/>
    </xf>
    <xf numFmtId="0" fontId="0" fillId="11" borderId="0" pivotButton="0" quotePrefix="0" xfId="0"/>
    <xf numFmtId="0" fontId="14" fillId="16" borderId="4" applyAlignment="1" pivotButton="0" quotePrefix="0" xfId="0">
      <alignment horizontal="center" vertical="center"/>
    </xf>
    <xf numFmtId="0" fontId="15" fillId="17" borderId="5" applyAlignment="1" pivotButton="0" quotePrefix="0" xfId="0">
      <alignment horizontal="center" vertical="center"/>
    </xf>
    <xf numFmtId="0" fontId="19" fillId="18" borderId="6" applyAlignment="1" pivotButton="0" quotePrefix="0" xfId="0">
      <alignment horizontal="center" vertical="center"/>
    </xf>
    <xf numFmtId="0" fontId="22" fillId="11" borderId="1" applyAlignment="1" pivotButton="0" quotePrefix="0" xfId="0">
      <alignment horizontal="left" vertical="center"/>
    </xf>
    <xf numFmtId="0" fontId="7" fillId="11" borderId="1" applyAlignment="1" pivotButton="0" quotePrefix="0" xfId="0">
      <alignment horizontal="left" vertical="center" wrapText="1"/>
    </xf>
    <xf numFmtId="164" fontId="7" fillId="11" borderId="0" applyAlignment="1" pivotButton="0" quotePrefix="0" xfId="0">
      <alignment horizontal="center" vertical="center"/>
    </xf>
    <xf numFmtId="14" fontId="7" fillId="11" borderId="0" applyAlignment="1" pivotButton="0" quotePrefix="0" xfId="0">
      <alignment horizontal="center" vertical="center"/>
    </xf>
    <xf numFmtId="0" fontId="22" fillId="10" borderId="1" applyAlignment="1" pivotButton="0" quotePrefix="0" xfId="0">
      <alignment horizontal="left" vertical="center"/>
    </xf>
    <xf numFmtId="0" fontId="7" fillId="10" borderId="1" applyAlignment="1" pivotButton="0" quotePrefix="0" xfId="0">
      <alignment horizontal="left" vertical="center" wrapText="1"/>
    </xf>
    <xf numFmtId="164" fontId="7" fillId="10" borderId="0" applyAlignment="1" pivotButton="0" quotePrefix="0" xfId="0">
      <alignment horizontal="center" vertical="center"/>
    </xf>
    <xf numFmtId="0" fontId="0" fillId="10" borderId="0" pivotButton="0" quotePrefix="0" xfId="0"/>
    <xf numFmtId="14" fontId="7" fillId="10" borderId="0" applyAlignment="1" pivotButton="0" quotePrefix="0" xfId="0">
      <alignment horizontal="center" vertical="center"/>
    </xf>
    <xf numFmtId="0" fontId="0" fillId="10" borderId="1" pivotButton="0" quotePrefix="0" xfId="0"/>
    <xf numFmtId="0" fontId="0" fillId="11" borderId="1" pivotButton="0" quotePrefix="0" xfId="0"/>
    <xf numFmtId="0" fontId="5" fillId="10" borderId="1" applyAlignment="1" pivotButton="0" quotePrefix="0" xfId="0">
      <alignment horizontal="center" vertical="center" wrapText="1"/>
    </xf>
    <xf numFmtId="0" fontId="11" fillId="10" borderId="1" applyAlignment="1" pivotButton="0" quotePrefix="0" xfId="0">
      <alignment horizontal="center" vertical="center" wrapText="1"/>
    </xf>
    <xf numFmtId="0" fontId="5" fillId="11" borderId="1" applyAlignment="1" pivotButton="0" quotePrefix="0" xfId="0">
      <alignment horizontal="center" vertical="center" wrapText="1"/>
    </xf>
    <xf numFmtId="0" fontId="11" fillId="11" borderId="1" applyAlignment="1" pivotButton="0" quotePrefix="0" xfId="0">
      <alignment horizontal="center" vertical="center" wrapText="1"/>
    </xf>
    <xf numFmtId="0" fontId="6" fillId="10" borderId="0" applyAlignment="1" pivotButton="0" quotePrefix="0" xfId="0">
      <alignment horizontal="center" vertical="center"/>
    </xf>
    <xf numFmtId="0" fontId="17" fillId="10" borderId="0" applyAlignment="1" pivotButton="0" quotePrefix="0" xfId="0">
      <alignment horizontal="left" vertical="center"/>
    </xf>
    <xf numFmtId="0" fontId="6" fillId="11" borderId="0" applyAlignment="1" pivotButton="0" quotePrefix="0" xfId="0">
      <alignment horizontal="center" vertical="center"/>
    </xf>
    <xf numFmtId="0" fontId="17" fillId="11" borderId="0" applyAlignment="1" pivotButton="0" quotePrefix="0" xfId="0">
      <alignment horizontal="left" vertical="center"/>
    </xf>
    <xf numFmtId="0" fontId="22" fillId="11" borderId="1" applyAlignment="1" pivotButton="0" quotePrefix="0" xfId="0">
      <alignment horizontal="left" vertical="top"/>
    </xf>
    <xf numFmtId="0" fontId="6" fillId="11" borderId="1" applyAlignment="1" pivotButton="0" quotePrefix="0" xfId="0">
      <alignment horizontal="center" vertical="top"/>
    </xf>
    <xf numFmtId="0" fontId="22" fillId="11" borderId="1" applyAlignment="1" pivotButton="0" quotePrefix="0" xfId="0">
      <alignment horizontal="left" vertical="top" wrapText="1"/>
    </xf>
    <xf numFmtId="0" fontId="17" fillId="11" borderId="1" applyAlignment="1" pivotButton="0" quotePrefix="0" xfId="0">
      <alignment horizontal="left" vertical="top" wrapText="1"/>
    </xf>
    <xf numFmtId="14" fontId="22" fillId="11" borderId="1" applyAlignment="1" pivotButton="0" quotePrefix="0" xfId="0">
      <alignment horizontal="center" vertical="center"/>
    </xf>
    <xf numFmtId="0" fontId="22" fillId="10" borderId="1" applyAlignment="1" pivotButton="0" quotePrefix="0" xfId="0">
      <alignment horizontal="left" vertical="top"/>
    </xf>
    <xf numFmtId="0" fontId="6" fillId="10" borderId="1" applyAlignment="1" pivotButton="0" quotePrefix="0" xfId="0">
      <alignment horizontal="center" vertical="top"/>
    </xf>
    <xf numFmtId="0" fontId="22" fillId="10" borderId="1" applyAlignment="1" pivotButton="0" quotePrefix="0" xfId="0">
      <alignment horizontal="left" vertical="top" wrapText="1"/>
    </xf>
    <xf numFmtId="0" fontId="17" fillId="10" borderId="1" applyAlignment="1" pivotButton="0" quotePrefix="0" xfId="0">
      <alignment horizontal="left" vertical="top" wrapText="1"/>
    </xf>
    <xf numFmtId="14" fontId="22" fillId="10" borderId="1" applyAlignment="1" pivotButton="0" quotePrefix="0" xfId="0">
      <alignment horizontal="center" vertical="center"/>
    </xf>
    <xf numFmtId="0" fontId="4" fillId="14" borderId="0" applyAlignment="1" pivotButton="0" quotePrefix="0" xfId="0">
      <alignment horizontal="center" vertical="center"/>
    </xf>
    <xf numFmtId="0" fontId="22" fillId="10" borderId="0" applyAlignment="1" pivotButton="0" quotePrefix="0" xfId="0">
      <alignment horizontal="left" vertical="center"/>
    </xf>
    <xf numFmtId="0" fontId="7" fillId="10" borderId="0" applyAlignment="1" pivotButton="0" quotePrefix="0" xfId="0">
      <alignment horizontal="left" vertical="center" wrapText="1"/>
    </xf>
    <xf numFmtId="0" fontId="8" fillId="10" borderId="7" applyAlignment="1" pivotButton="0" quotePrefix="0" xfId="0">
      <alignment horizontal="center" vertical="center"/>
    </xf>
    <xf numFmtId="0" fontId="22" fillId="11" borderId="0" applyAlignment="1" pivotButton="0" quotePrefix="0" xfId="0">
      <alignment horizontal="left" vertical="center"/>
    </xf>
    <xf numFmtId="0" fontId="8" fillId="11" borderId="7" applyAlignment="1" pivotButton="0" quotePrefix="0" xfId="0">
      <alignment horizontal="center" vertical="center"/>
    </xf>
    <xf numFmtId="0" fontId="7" fillId="10" borderId="1" applyAlignment="1" pivotButton="0" quotePrefix="0" xfId="0">
      <alignment horizontal="center" vertical="center"/>
    </xf>
    <xf numFmtId="0" fontId="16" fillId="10" borderId="1" applyAlignment="1" pivotButton="0" quotePrefix="0" xfId="0">
      <alignment horizontal="left" vertical="center"/>
    </xf>
    <xf numFmtId="0" fontId="13" fillId="10" borderId="1" applyAlignment="1" pivotButton="0" quotePrefix="0" xfId="0">
      <alignment horizontal="left" vertical="center"/>
    </xf>
    <xf numFmtId="0" fontId="7" fillId="11" borderId="1" applyAlignment="1" pivotButton="0" quotePrefix="0" xfId="0">
      <alignment horizontal="center" vertical="center"/>
    </xf>
    <xf numFmtId="0" fontId="16" fillId="11" borderId="1" applyAlignment="1" pivotButton="0" quotePrefix="0" xfId="0">
      <alignment horizontal="left" vertical="center"/>
    </xf>
    <xf numFmtId="0" fontId="14" fillId="11" borderId="1" applyAlignment="1" pivotButton="0" quotePrefix="0" xfId="0">
      <alignment horizontal="left" vertical="center"/>
    </xf>
    <xf numFmtId="0" fontId="13" fillId="11" borderId="1" applyAlignment="1" pivotButton="0" quotePrefix="0" xfId="0">
      <alignment horizontal="left" vertical="center"/>
    </xf>
    <xf numFmtId="0" fontId="14" fillId="10" borderId="1" applyAlignment="1" pivotButton="0" quotePrefix="0" xfId="0">
      <alignment horizontal="left" vertical="center"/>
    </xf>
    <xf numFmtId="0" fontId="8" fillId="11" borderId="1" applyAlignment="1" pivotButton="0" quotePrefix="0" xfId="0">
      <alignment horizontal="left" vertical="center"/>
    </xf>
    <xf numFmtId="0" fontId="8" fillId="10" borderId="1" applyAlignment="1" pivotButton="0" quotePrefix="0" xfId="0">
      <alignment horizontal="left" vertical="center"/>
    </xf>
    <xf numFmtId="0" fontId="19" fillId="11" borderId="1" applyAlignment="1" pivotButton="0" quotePrefix="0" xfId="0">
      <alignment horizontal="left" vertical="center"/>
    </xf>
    <xf numFmtId="165" fontId="7" fillId="11" borderId="1" applyAlignment="1" pivotButton="0" quotePrefix="0" xfId="0">
      <alignment horizontal="left" vertical="center"/>
    </xf>
    <xf numFmtId="0" fontId="5" fillId="10" borderId="0" applyAlignment="1" pivotButton="0" quotePrefix="0" xfId="0">
      <alignment horizontal="center" vertical="center"/>
    </xf>
    <xf numFmtId="0" fontId="5" fillId="11" borderId="0" applyAlignment="1" pivotButton="0" quotePrefix="0" xfId="0">
      <alignment horizontal="center" vertical="center"/>
    </xf>
    <xf numFmtId="0" fontId="6" fillId="10" borderId="1" applyAlignment="1" pivotButton="0" quotePrefix="0" xfId="0">
      <alignment horizontal="left" vertical="center"/>
    </xf>
    <xf numFmtId="0" fontId="25" fillId="10" borderId="1" applyAlignment="1" pivotButton="0" quotePrefix="0" xfId="0">
      <alignment horizontal="left" vertical="center"/>
    </xf>
    <xf numFmtId="0" fontId="6" fillId="11" borderId="1" applyAlignment="1" pivotButton="0" quotePrefix="0" xfId="0">
      <alignment horizontal="left" vertical="center"/>
    </xf>
    <xf numFmtId="0" fontId="25" fillId="11" borderId="1" applyAlignment="1" pivotButton="0" quotePrefix="0" xfId="0">
      <alignment horizontal="left" vertical="center"/>
    </xf>
    <xf numFmtId="0" fontId="2" fillId="9" borderId="2" applyAlignment="1" pivotButton="0" quotePrefix="0" xfId="0">
      <alignment horizontal="center" vertical="center"/>
    </xf>
    <xf numFmtId="0" fontId="2" fillId="26" borderId="2" applyAlignment="1" pivotButton="0" quotePrefix="0" xfId="0">
      <alignment horizontal="center" vertical="center"/>
    </xf>
    <xf numFmtId="0" fontId="26" fillId="10" borderId="0" applyAlignment="1" pivotButton="0" quotePrefix="0" xfId="0">
      <alignment horizontal="center" vertical="center"/>
    </xf>
    <xf numFmtId="0" fontId="11" fillId="10" borderId="1" applyAlignment="1" pivotButton="0" quotePrefix="0" xfId="0">
      <alignment horizontal="left" vertical="center"/>
    </xf>
    <xf numFmtId="0" fontId="26" fillId="11" borderId="0" applyAlignment="1" pivotButton="0" quotePrefix="0" xfId="0">
      <alignment horizontal="center" vertical="center"/>
    </xf>
    <xf numFmtId="0" fontId="50" fillId="49" borderId="0" applyAlignment="1" pivotButton="0" quotePrefix="0" xfId="0">
      <alignment horizontal="center" vertical="center"/>
    </xf>
    <xf numFmtId="0" fontId="50" fillId="51" borderId="0" applyAlignment="1" pivotButton="0" quotePrefix="0" xfId="0">
      <alignment horizontal="center" vertical="center"/>
    </xf>
    <xf numFmtId="0" fontId="47" fillId="0" borderId="0" applyAlignment="1" pivotButton="0" quotePrefix="0" xfId="0">
      <alignment horizontal="left" vertical="top"/>
    </xf>
    <xf numFmtId="0" fontId="50" fillId="52" borderId="0" applyAlignment="1" pivotButton="0" quotePrefix="0" xfId="0">
      <alignment horizontal="center" vertical="center"/>
    </xf>
    <xf numFmtId="0" fontId="50" fillId="48" borderId="0" applyAlignment="1" pivotButton="0" quotePrefix="0" xfId="0">
      <alignment horizontal="center" vertical="center"/>
    </xf>
    <xf numFmtId="0" fontId="50" fillId="54" borderId="0" applyAlignment="1" pivotButton="0" quotePrefix="0" xfId="0">
      <alignment horizontal="center" vertical="center"/>
    </xf>
    <xf numFmtId="0" fontId="50" fillId="53" borderId="0" applyAlignment="1" pivotButton="0" quotePrefix="0" xfId="0">
      <alignment horizontal="center" vertical="center"/>
    </xf>
    <xf numFmtId="0" fontId="50" fillId="55" borderId="0" applyAlignment="1" pivotButton="0" quotePrefix="0" xfId="0">
      <alignment horizontal="center" vertical="center"/>
    </xf>
    <xf numFmtId="0" fontId="46" fillId="44" borderId="9" applyAlignment="1" pivotButton="0" quotePrefix="0" xfId="0">
      <alignment horizontal="center" vertical="center" wrapText="1"/>
    </xf>
    <xf numFmtId="0" fontId="46" fillId="47" borderId="9" applyAlignment="1" pivotButton="0" quotePrefix="0" xfId="0">
      <alignment horizontal="center" vertical="center" wrapText="1"/>
    </xf>
    <xf numFmtId="0" fontId="46" fillId="48" borderId="9" applyAlignment="1" pivotButton="0" quotePrefix="0" xfId="0">
      <alignment horizontal="center" vertical="center" wrapText="1"/>
    </xf>
    <xf numFmtId="0" fontId="46" fillId="49" borderId="9" applyAlignment="1" pivotButton="0" quotePrefix="0" xfId="0">
      <alignment horizontal="center" vertical="center" wrapText="1"/>
    </xf>
    <xf numFmtId="0" fontId="46" fillId="50" borderId="9" applyAlignment="1" pivotButton="0" quotePrefix="0" xfId="0">
      <alignment horizontal="center" vertical="center" wrapText="1"/>
    </xf>
    <xf numFmtId="0" fontId="46" fillId="51" borderId="9" applyAlignment="1" pivotButton="0" quotePrefix="0" xfId="0">
      <alignment horizontal="center" vertical="center" wrapText="1"/>
    </xf>
    <xf numFmtId="0" fontId="46" fillId="52" borderId="9" applyAlignment="1" pivotButton="0" quotePrefix="0" xfId="0">
      <alignment horizontal="center" vertical="center" wrapText="1"/>
    </xf>
    <xf numFmtId="0" fontId="46" fillId="53" borderId="9" applyAlignment="1" pivotButton="0" quotePrefix="0" xfId="0">
      <alignment horizontal="center" vertical="center" wrapText="1"/>
    </xf>
    <xf numFmtId="0" fontId="46" fillId="54" borderId="9" applyAlignment="1" pivotButton="0" quotePrefix="0" xfId="0">
      <alignment horizontal="center" vertical="center" wrapText="1"/>
    </xf>
    <xf numFmtId="0" fontId="46" fillId="55" borderId="9" applyAlignment="1" pivotButton="0" quotePrefix="0" xfId="0">
      <alignment horizontal="center" vertical="center" wrapText="1"/>
    </xf>
    <xf numFmtId="0" fontId="46" fillId="56" borderId="9" applyAlignment="1" pivotButton="0" quotePrefix="0" xfId="0">
      <alignment horizontal="center" vertical="center" wrapText="1"/>
    </xf>
    <xf numFmtId="0" fontId="47" fillId="57" borderId="10" applyAlignment="1" pivotButton="0" quotePrefix="0" xfId="0">
      <alignment horizontal="left" vertical="top" wrapText="1"/>
    </xf>
    <xf numFmtId="0" fontId="47" fillId="58" borderId="10" applyAlignment="1" pivotButton="0" quotePrefix="0" xfId="0">
      <alignment horizontal="left" vertical="top" wrapText="1"/>
    </xf>
    <xf numFmtId="0" fontId="47" fillId="57" borderId="10" applyAlignment="1" pivotButton="0" quotePrefix="0" xfId="0">
      <alignment horizontal="center" vertical="top" wrapText="1"/>
    </xf>
    <xf numFmtId="0" fontId="4" fillId="52" borderId="9" applyAlignment="1" pivotButton="0" quotePrefix="0" xfId="0">
      <alignment horizontal="center" vertical="center" wrapText="1"/>
    </xf>
    <xf numFmtId="0" fontId="4" fillId="59" borderId="9" applyAlignment="1" pivotButton="0" quotePrefix="0" xfId="0">
      <alignment horizontal="center" vertical="center" wrapText="1"/>
    </xf>
    <xf numFmtId="0" fontId="4" fillId="60" borderId="9" applyAlignment="1" pivotButton="0" quotePrefix="0" xfId="0">
      <alignment horizontal="center" vertical="center" wrapText="1"/>
    </xf>
    <xf numFmtId="0" fontId="4" fillId="61" borderId="9" applyAlignment="1" pivotButton="0" quotePrefix="0" xfId="0">
      <alignment horizontal="center" vertical="center" wrapText="1"/>
    </xf>
    <xf numFmtId="0" fontId="4" fillId="62" borderId="9" applyAlignment="1" pivotButton="0" quotePrefix="0" xfId="0">
      <alignment horizontal="center" vertical="center" wrapText="1"/>
    </xf>
    <xf numFmtId="0" fontId="4" fillId="63" borderId="9" applyAlignment="1" pivotButton="0" quotePrefix="0" xfId="0">
      <alignment horizontal="center" vertical="center" wrapText="1"/>
    </xf>
    <xf numFmtId="0" fontId="4" fillId="64" borderId="9" applyAlignment="1" pivotButton="0" quotePrefix="0" xfId="0">
      <alignment horizontal="center" vertical="center" wrapText="1"/>
    </xf>
    <xf numFmtId="0" fontId="4" fillId="65" borderId="9" applyAlignment="1" pivotButton="0" quotePrefix="0" xfId="0">
      <alignment horizontal="center" vertical="center" wrapText="1"/>
    </xf>
    <xf numFmtId="0" fontId="4" fillId="66" borderId="9" applyAlignment="1" pivotButton="0" quotePrefix="0" xfId="0">
      <alignment horizontal="center" vertical="center" wrapText="1"/>
    </xf>
    <xf numFmtId="0" fontId="4" fillId="67" borderId="9" applyAlignment="1" pivotButton="0" quotePrefix="0" xfId="0">
      <alignment horizontal="center" vertical="center" wrapText="1"/>
    </xf>
    <xf numFmtId="0" fontId="49" fillId="55" borderId="0" applyAlignment="1" pivotButton="0" quotePrefix="0" xfId="0">
      <alignment horizontal="left" vertical="top"/>
    </xf>
    <xf numFmtId="0" fontId="0" fillId="0" borderId="0" pivotButton="0" quotePrefix="0" xfId="0"/>
    <xf numFmtId="0" fontId="49" fillId="53" borderId="0" applyAlignment="1" pivotButton="0" quotePrefix="0" xfId="0">
      <alignment horizontal="left" vertical="top"/>
    </xf>
    <xf numFmtId="0" fontId="48" fillId="44" borderId="0" applyAlignment="1" pivotButton="0" quotePrefix="0" xfId="0">
      <alignment horizontal="center" vertical="center"/>
    </xf>
    <xf numFmtId="0" fontId="49" fillId="51" borderId="0" applyAlignment="1" pivotButton="0" quotePrefix="0" xfId="0">
      <alignment horizontal="left" vertical="top"/>
    </xf>
    <xf numFmtId="0" fontId="49" fillId="49" borderId="0" applyAlignment="1" pivotButton="0" quotePrefix="0" xfId="0">
      <alignment horizontal="left" vertical="top"/>
    </xf>
    <xf numFmtId="0" fontId="0" fillId="44" borderId="0" pivotButton="0" quotePrefix="0" xfId="0"/>
    <xf numFmtId="0" fontId="49" fillId="48" borderId="0" applyAlignment="1" pivotButton="0" quotePrefix="0" xfId="0">
      <alignment horizontal="left" vertical="top"/>
    </xf>
    <xf numFmtId="0" fontId="49" fillId="54" borderId="0" applyAlignment="1" pivotButton="0" quotePrefix="0" xfId="0">
      <alignment horizontal="left" vertical="top"/>
    </xf>
    <xf numFmtId="0" fontId="49" fillId="52" borderId="0" applyAlignment="1" pivotButton="0" quotePrefix="0" xfId="0">
      <alignment horizontal="left" vertical="top"/>
    </xf>
    <xf numFmtId="0" fontId="45" fillId="44" borderId="8" applyAlignment="1" pivotButton="0" quotePrefix="0" xfId="0">
      <alignment horizontal="center" vertical="center"/>
    </xf>
    <xf numFmtId="0" fontId="9" fillId="48" borderId="8" applyAlignment="1" pivotButton="0" quotePrefix="0" xfId="0">
      <alignment horizontal="center" vertical="center"/>
    </xf>
    <xf numFmtId="0" fontId="45" fillId="48" borderId="0" applyAlignment="1" pivotButton="0" quotePrefix="0" xfId="0">
      <alignment horizontal="center" vertical="center"/>
    </xf>
    <xf numFmtId="0" fontId="45" fillId="49" borderId="8" applyAlignment="1" pivotButton="0" quotePrefix="0" xfId="0">
      <alignment horizontal="center" vertical="center"/>
    </xf>
    <xf numFmtId="0" fontId="45" fillId="49" borderId="0" applyAlignment="1" pivotButton="0" quotePrefix="0" xfId="0">
      <alignment horizontal="center" vertical="center"/>
    </xf>
    <xf numFmtId="0" fontId="9" fillId="56" borderId="8" applyAlignment="1" pivotButton="0" quotePrefix="0" xfId="0">
      <alignment horizontal="center" vertical="center"/>
    </xf>
    <xf numFmtId="0" fontId="9" fillId="56" borderId="0" applyAlignment="1" pivotButton="0" quotePrefix="0" xfId="0">
      <alignment horizontal="center" vertical="center"/>
    </xf>
    <xf numFmtId="0" fontId="43" fillId="44" borderId="0" applyAlignment="1" pivotButton="0" quotePrefix="0" xfId="0">
      <alignment horizontal="center" vertical="center"/>
    </xf>
    <xf numFmtId="0" fontId="0" fillId="46" borderId="0" pivotButton="0" quotePrefix="0" xfId="0"/>
    <xf numFmtId="0" fontId="9" fillId="52" borderId="8" applyAlignment="1" pivotButton="0" quotePrefix="0" xfId="0">
      <alignment horizontal="center" vertical="center"/>
    </xf>
    <xf numFmtId="0" fontId="45" fillId="52" borderId="0" applyAlignment="1" pivotButton="0" quotePrefix="0" xfId="0">
      <alignment horizontal="center" vertical="center"/>
    </xf>
    <xf numFmtId="0" fontId="9" fillId="55" borderId="8" applyAlignment="1" pivotButton="0" quotePrefix="0" xfId="0">
      <alignment horizontal="center" vertical="center"/>
    </xf>
    <xf numFmtId="0" fontId="45" fillId="55" borderId="0" applyAlignment="1" pivotButton="0" quotePrefix="0" xfId="0">
      <alignment horizontal="center" vertical="center"/>
    </xf>
    <xf numFmtId="0" fontId="45" fillId="51" borderId="8" applyAlignment="1" pivotButton="0" quotePrefix="0" xfId="0">
      <alignment horizontal="center" vertical="center"/>
    </xf>
    <xf numFmtId="0" fontId="45" fillId="51" borderId="0" applyAlignment="1" pivotButton="0" quotePrefix="0" xfId="0">
      <alignment horizontal="center" vertical="center"/>
    </xf>
    <xf numFmtId="0" fontId="9" fillId="54" borderId="8" applyAlignment="1" pivotButton="0" quotePrefix="0" xfId="0">
      <alignment horizontal="center" vertical="center"/>
    </xf>
    <xf numFmtId="0" fontId="45" fillId="54" borderId="0" applyAlignment="1" pivotButton="0" quotePrefix="0" xfId="0">
      <alignment horizontal="center" vertical="center"/>
    </xf>
    <xf numFmtId="0" fontId="45" fillId="47" borderId="8" applyAlignment="1" pivotButton="0" quotePrefix="0" xfId="0">
      <alignment horizontal="center" vertical="center"/>
    </xf>
    <xf numFmtId="0" fontId="45" fillId="47" borderId="0" applyAlignment="1" pivotButton="0" quotePrefix="0" xfId="0">
      <alignment horizontal="center" vertical="center"/>
    </xf>
    <xf numFmtId="0" fontId="44" fillId="45" borderId="0" applyAlignment="1" pivotButton="0" quotePrefix="0" xfId="0">
      <alignment horizontal="center" vertical="center"/>
    </xf>
    <xf numFmtId="0" fontId="9" fillId="50" borderId="8" applyAlignment="1" pivotButton="0" quotePrefix="0" xfId="0">
      <alignment horizontal="center" vertical="center"/>
    </xf>
    <xf numFmtId="0" fontId="45" fillId="50" borderId="0" applyAlignment="1" pivotButton="0" quotePrefix="0" xfId="0">
      <alignment horizontal="center" vertical="center"/>
    </xf>
    <xf numFmtId="0" fontId="9" fillId="53" borderId="0" applyAlignment="1" pivotButton="0" quotePrefix="0" xfId="0">
      <alignment horizontal="center" vertical="center"/>
    </xf>
    <xf numFmtId="0" fontId="45" fillId="53" borderId="0" applyAlignment="1" pivotButton="0" quotePrefix="0" xfId="0">
      <alignment horizontal="center" vertical="center"/>
    </xf>
    <xf numFmtId="0" fontId="45" fillId="53" borderId="11" applyAlignment="1" pivotButton="0" quotePrefix="0" xfId="0">
      <alignment horizontal="center" vertical="center"/>
    </xf>
    <xf numFmtId="0" fontId="9" fillId="8" borderId="0" applyAlignment="1" pivotButton="0" quotePrefix="0" xfId="0">
      <alignment horizontal="left" vertical="center"/>
    </xf>
    <xf numFmtId="0" fontId="21" fillId="3" borderId="0" applyAlignment="1" pivotButton="0" quotePrefix="0" xfId="0">
      <alignment horizontal="left" vertical="center"/>
    </xf>
    <xf numFmtId="0" fontId="1" fillId="14" borderId="0" applyAlignment="1" pivotButton="0" quotePrefix="0" xfId="0">
      <alignment horizontal="left" vertical="center"/>
    </xf>
    <xf numFmtId="0" fontId="53" fillId="2" borderId="0" applyAlignment="1" pivotButton="0" quotePrefix="0" xfId="0">
      <alignment horizontal="center" vertical="center" textRotation="180" wrapText="1"/>
    </xf>
    <xf numFmtId="0" fontId="23" fillId="14" borderId="0" applyAlignment="1" pivotButton="0" quotePrefix="0" xfId="0">
      <alignment horizontal="left" vertical="center"/>
    </xf>
    <xf numFmtId="0" fontId="3" fillId="8" borderId="0" applyAlignment="1" pivotButton="0" quotePrefix="0" xfId="0">
      <alignment horizontal="left" vertical="center"/>
    </xf>
    <xf numFmtId="0" fontId="17" fillId="20" borderId="0" applyAlignment="1" pivotButton="0" quotePrefix="0" xfId="0">
      <alignment horizontal="left" vertical="top" wrapText="1"/>
    </xf>
    <xf numFmtId="0" fontId="2" fillId="5" borderId="0" applyAlignment="1" pivotButton="0" quotePrefix="0" xfId="0">
      <alignment horizontal="left" vertical="center"/>
    </xf>
    <xf numFmtId="0" fontId="3" fillId="13" borderId="0" applyAlignment="1" pivotButton="0" quotePrefix="0" xfId="0">
      <alignment horizontal="left" vertical="center"/>
    </xf>
    <xf numFmtId="0" fontId="3" fillId="19" borderId="0" applyAlignment="1" pivotButton="0" quotePrefix="0" xfId="0">
      <alignment horizontal="left" vertical="center"/>
    </xf>
    <xf numFmtId="0" fontId="10" fillId="25" borderId="0" applyAlignment="1" pivotButton="0" quotePrefix="0" xfId="0">
      <alignment horizontal="center" vertical="center"/>
    </xf>
    <xf numFmtId="0" fontId="10" fillId="23" borderId="0" applyAlignment="1" pivotButton="0" quotePrefix="0" xfId="0">
      <alignment horizontal="center" vertical="center"/>
    </xf>
    <xf numFmtId="0" fontId="17" fillId="11" borderId="0" applyAlignment="1" pivotButton="0" quotePrefix="0" xfId="0">
      <alignment horizontal="left" vertical="center"/>
    </xf>
    <xf numFmtId="0" fontId="10" fillId="3" borderId="0" applyAlignment="1" pivotButton="0" quotePrefix="0" xfId="0">
      <alignment horizontal="center" vertical="center"/>
    </xf>
    <xf numFmtId="0" fontId="24" fillId="3" borderId="0" applyAlignment="1" pivotButton="0" quotePrefix="0" xfId="0">
      <alignment horizontal="left" vertical="center"/>
    </xf>
    <xf numFmtId="0" fontId="17" fillId="10" borderId="0" applyAlignment="1" pivotButton="0" quotePrefix="0" xfId="0">
      <alignment horizontal="left" vertical="center"/>
    </xf>
    <xf numFmtId="0" fontId="10" fillId="24" borderId="0" applyAlignment="1" pivotButton="0" quotePrefix="0" xfId="0">
      <alignment horizontal="center" vertical="center"/>
    </xf>
    <xf numFmtId="0" fontId="10" fillId="22" borderId="0" applyAlignment="1" pivotButton="0" quotePrefix="0" xfId="0">
      <alignment horizontal="center" vertical="center"/>
    </xf>
    <xf numFmtId="0" fontId="10" fillId="5" borderId="0" applyAlignment="1" pivotButton="0" quotePrefix="0" xfId="0">
      <alignment horizontal="center" vertical="center"/>
    </xf>
    <xf numFmtId="0" fontId="10" fillId="21" borderId="0" applyAlignment="1" pivotButton="0" quotePrefix="0" xfId="0">
      <alignment horizontal="center" vertical="center"/>
    </xf>
    <xf numFmtId="0" fontId="1" fillId="4" borderId="0" applyAlignment="1" pivotButton="0" quotePrefix="0" xfId="0">
      <alignment horizontal="left" vertical="center"/>
    </xf>
    <xf numFmtId="0" fontId="52" fillId="54" borderId="0" applyAlignment="1" pivotButton="0" quotePrefix="0" xfId="0">
      <alignment horizontal="left" vertical="top"/>
    </xf>
    <xf numFmtId="0" fontId="52" fillId="53" borderId="0" applyAlignment="1" pivotButton="0" quotePrefix="0" xfId="0">
      <alignment horizontal="left" vertical="top"/>
    </xf>
    <xf numFmtId="0" fontId="51" fillId="53" borderId="0" applyAlignment="1" pivotButton="0" quotePrefix="0" xfId="0">
      <alignment horizontal="center" vertical="center"/>
    </xf>
    <xf numFmtId="0" fontId="47" fillId="58" borderId="0" applyAlignment="1" pivotButton="0" quotePrefix="0" xfId="0">
      <alignment horizontal="left" vertical="top" wrapText="1"/>
    </xf>
    <xf numFmtId="0" fontId="51" fillId="44" borderId="0" applyAlignment="1" pivotButton="0" quotePrefix="0" xfId="0">
      <alignment horizontal="center" vertical="center"/>
    </xf>
    <xf numFmtId="0" fontId="49" fillId="47" borderId="0" applyAlignment="1" pivotButton="0" quotePrefix="0" xfId="0">
      <alignment horizontal="left" vertical="top"/>
    </xf>
    <xf numFmtId="0" fontId="12" fillId="6" borderId="0" applyAlignment="1" pivotButton="0" quotePrefix="0" xfId="0">
      <alignment horizontal="center" vertical="center"/>
    </xf>
    <xf numFmtId="0" fontId="39" fillId="40" borderId="0" applyAlignment="1" pivotButton="0" quotePrefix="0" xfId="0">
      <alignment horizontal="center" vertical="center"/>
    </xf>
    <xf numFmtId="0" fontId="18" fillId="7" borderId="0" applyAlignment="1" pivotButton="0" quotePrefix="0" xfId="0">
      <alignment horizontal="center" vertical="center"/>
    </xf>
    <xf numFmtId="0" fontId="31" fillId="31" borderId="0" applyAlignment="1" pivotButton="0" quotePrefix="0" xfId="0">
      <alignment horizontal="center" vertical="center"/>
    </xf>
    <xf numFmtId="0" fontId="27" fillId="27" borderId="0" applyAlignment="1" pivotButton="0" quotePrefix="0" xfId="0">
      <alignment horizontal="center" vertical="center"/>
    </xf>
    <xf numFmtId="0" fontId="35" fillId="36" borderId="0" applyAlignment="1" pivotButton="0" quotePrefix="0" xfId="0">
      <alignment horizontal="center" vertical="center"/>
    </xf>
    <xf numFmtId="0" fontId="41" fillId="42" borderId="0" applyAlignment="1" pivotButton="0" quotePrefix="0" xfId="0">
      <alignment horizontal="center" vertical="center"/>
    </xf>
    <xf numFmtId="0" fontId="37" fillId="38" borderId="0" applyAlignment="1" pivotButton="0" quotePrefix="0" xfId="0">
      <alignment horizontal="center" vertical="center"/>
    </xf>
    <xf numFmtId="0" fontId="32" fillId="32" borderId="0" applyAlignment="1" pivotButton="0" quotePrefix="0" xfId="0">
      <alignment horizontal="center" vertical="center"/>
    </xf>
    <xf numFmtId="0" fontId="36" fillId="37" borderId="0" applyAlignment="1" pivotButton="0" quotePrefix="0" xfId="0">
      <alignment horizontal="center" vertical="center"/>
    </xf>
    <xf numFmtId="0" fontId="28" fillId="28" borderId="0" applyAlignment="1" pivotButton="0" quotePrefix="0" xfId="0">
      <alignment horizontal="center" vertical="center"/>
    </xf>
    <xf numFmtId="0" fontId="3" fillId="26" borderId="0" applyAlignment="1" pivotButton="0" quotePrefix="0" xfId="0">
      <alignment horizontal="left" vertical="center"/>
    </xf>
    <xf numFmtId="0" fontId="19" fillId="18" borderId="0" applyAlignment="1" pivotButton="0" quotePrefix="0" xfId="0">
      <alignment horizontal="center" vertical="center"/>
    </xf>
    <xf numFmtId="0" fontId="20" fillId="12" borderId="0" applyAlignment="1" pivotButton="0" quotePrefix="0" xfId="0">
      <alignment horizontal="center" vertical="center"/>
    </xf>
    <xf numFmtId="0" fontId="38" fillId="39" borderId="0" applyAlignment="1" pivotButton="0" quotePrefix="0" xfId="0">
      <alignment horizontal="center" vertical="center"/>
    </xf>
    <xf numFmtId="0" fontId="34" fillId="35" borderId="0" applyAlignment="1" pivotButton="0" quotePrefix="0" xfId="0">
      <alignment horizontal="center" vertical="center"/>
    </xf>
    <xf numFmtId="0" fontId="29" fillId="29" borderId="0" applyAlignment="1" pivotButton="0" quotePrefix="0" xfId="0">
      <alignment horizontal="center" vertical="center"/>
    </xf>
    <xf numFmtId="0" fontId="33" fillId="34" borderId="0" applyAlignment="1" pivotButton="0" quotePrefix="0" xfId="0">
      <alignment horizontal="center" vertical="center"/>
    </xf>
    <xf numFmtId="0" fontId="40" fillId="41" borderId="0" applyAlignment="1" pivotButton="0" quotePrefix="0" xfId="0">
      <alignment horizontal="center" vertical="center"/>
    </xf>
    <xf numFmtId="0" fontId="14" fillId="33" borderId="0" applyAlignment="1" pivotButton="0" quotePrefix="0" xfId="0">
      <alignment horizontal="center" vertical="center"/>
    </xf>
    <xf numFmtId="0" fontId="42" fillId="43" borderId="0" applyAlignment="1" pivotButton="0" quotePrefix="0" xfId="0">
      <alignment horizontal="center" vertical="center"/>
    </xf>
    <xf numFmtId="0" fontId="30" fillId="30" borderId="0" applyAlignment="1" pivotButton="0" quotePrefix="0" xfId="0">
      <alignment horizontal="center" vertical="center"/>
    </xf>
    <xf numFmtId="0" fontId="0" fillId="68" borderId="0" pivotButton="0" quotePrefix="0" xfId="0"/>
    <xf numFmtId="0" fontId="54" fillId="68" borderId="0" applyAlignment="1" pivotButton="0" quotePrefix="0" xfId="0">
      <alignment vertical="center"/>
    </xf>
    <xf numFmtId="0" fontId="55" fillId="69" borderId="22" applyAlignment="1" pivotButton="0" quotePrefix="0" xfId="0">
      <alignment horizontal="center" vertical="center"/>
    </xf>
    <xf numFmtId="0" fontId="0" fillId="0" borderId="23" pivotButton="0" quotePrefix="0" xfId="0"/>
    <xf numFmtId="0" fontId="0" fillId="0" borderId="25" pivotButton="0" quotePrefix="0" xfId="0"/>
    <xf numFmtId="0" fontId="55" fillId="69" borderId="31" applyAlignment="1" pivotButton="0" quotePrefix="0" xfId="0">
      <alignment horizontal="center" vertical="center"/>
    </xf>
    <xf numFmtId="0" fontId="55" fillId="69" borderId="37" applyAlignment="1" pivotButton="0" quotePrefix="0" xfId="0">
      <alignment horizontal="center" vertical="center"/>
    </xf>
    <xf numFmtId="0" fontId="0" fillId="0" borderId="24" pivotButton="0" quotePrefix="0" xfId="0"/>
    <xf numFmtId="0" fontId="0" fillId="0" borderId="26" pivotButton="0" quotePrefix="0" xfId="0"/>
    <xf numFmtId="0" fontId="0" fillId="0" borderId="32" pivotButton="0" quotePrefix="0" xfId="0"/>
    <xf numFmtId="0" fontId="0" fillId="0" borderId="38" pivotButton="0" quotePrefix="0" xfId="0"/>
    <xf numFmtId="0" fontId="56" fillId="69" borderId="27" applyAlignment="1" pivotButton="0" quotePrefix="0" xfId="0">
      <alignment horizontal="center" vertical="center"/>
    </xf>
    <xf numFmtId="0" fontId="56" fillId="69" borderId="33" applyAlignment="1" pivotButton="0" quotePrefix="0" xfId="0">
      <alignment horizontal="center" vertical="center"/>
    </xf>
    <xf numFmtId="0" fontId="56" fillId="69" borderId="39" applyAlignment="1" pivotButton="0" quotePrefix="0" xfId="0">
      <alignment horizontal="center" vertical="center"/>
    </xf>
    <xf numFmtId="0" fontId="0" fillId="69" borderId="20" pivotButton="0" quotePrefix="0" xfId="0"/>
    <xf numFmtId="0" fontId="0" fillId="69" borderId="19" pivotButton="0" quotePrefix="0" xfId="0"/>
    <xf numFmtId="0" fontId="0" fillId="69" borderId="21" pivotButton="0" quotePrefix="0" xfId="0"/>
    <xf numFmtId="0" fontId="0" fillId="69" borderId="30" pivotButton="0" quotePrefix="0" xfId="0"/>
    <xf numFmtId="0" fontId="0" fillId="69" borderId="36" pivotButton="0" quotePrefix="0" xfId="0"/>
    <xf numFmtId="0" fontId="57" fillId="68" borderId="0" pivotButton="0" quotePrefix="0" xfId="0"/>
    <xf numFmtId="0" fontId="56" fillId="69" borderId="40" applyAlignment="1" pivotButton="0" quotePrefix="0" xfId="0">
      <alignment horizontal="center" vertical="center"/>
    </xf>
    <xf numFmtId="0" fontId="0" fillId="69" borderId="41" applyAlignment="1" pivotButton="0" quotePrefix="0" xfId="0">
      <alignment horizontal="center" vertical="center"/>
    </xf>
    <xf numFmtId="0" fontId="58" fillId="69" borderId="41" applyAlignment="1" pivotButton="0" quotePrefix="0" xfId="0">
      <alignment horizontal="center" vertical="center"/>
    </xf>
    <xf numFmtId="0" fontId="0" fillId="0" borderId="12" pivotButton="0" quotePrefix="0" xfId="0"/>
    <xf numFmtId="0" fontId="0" fillId="0" borderId="13" pivotButton="0" quotePrefix="0" xfId="0"/>
    <xf numFmtId="0" fontId="9" fillId="53" borderId="11" applyAlignment="1" pivotButton="0" quotePrefix="0" xfId="0">
      <alignment horizontal="center" vertical="center"/>
    </xf>
    <xf numFmtId="0" fontId="0" fillId="0" borderId="11" pivotButton="0" quotePrefix="0" xfId="0"/>
    <xf numFmtId="0" fontId="59" fillId="0" borderId="0" pivotButton="0" quotePrefix="0" xfId="0"/>
    <xf numFmtId="0" fontId="60" fillId="0" borderId="0" pivotButton="0" quotePrefix="0" xfId="0"/>
    <xf numFmtId="0" fontId="61" fillId="68" borderId="0" pivotButton="0" quotePrefix="0" xfId="0"/>
    <xf numFmtId="0" fontId="0" fillId="0" borderId="0" applyAlignment="1" pivotButton="0" quotePrefix="0" xfId="0">
      <alignment wrapText="1"/>
    </xf>
    <xf numFmtId="0" fontId="54" fillId="0" borderId="0" applyAlignment="1" pivotButton="0" quotePrefix="0" xfId="0">
      <alignment vertical="center"/>
    </xf>
    <xf numFmtId="0" fontId="62" fillId="70" borderId="0" applyAlignment="1" pivotButton="0" quotePrefix="0" xfId="0">
      <alignment horizontal="center" vertical="center"/>
    </xf>
    <xf numFmtId="0" fontId="63" fillId="0" borderId="42" pivotButton="0" quotePrefix="0" xfId="0"/>
    <xf numFmtId="0" fontId="63" fillId="0" borderId="42" applyAlignment="1" pivotButton="0" quotePrefix="0" xfId="0">
      <alignment horizontal="center"/>
    </xf>
  </cellXfs>
  <cellStyles count="1">
    <cellStyle name="Normal" xfId="0" builtinId="0"/>
  </cellStyles>
  <dxfs count="116">
    <dxf>
      <font>
        <name val="Calibri"/>
        <strike val="1"/>
        <color rgb="FF888888"/>
        <sz val="10"/>
      </font>
    </dxf>
    <dxf>
      <font>
        <name val="Calibri"/>
        <b val="1"/>
        <color rgb="FFD4784A"/>
        <sz val="9"/>
      </font>
      <fill>
        <patternFill patternType="solid">
          <fgColor rgb="FFFAE0D4"/>
        </patternFill>
      </fill>
    </dxf>
    <dxf>
      <font>
        <name val="Calibri"/>
        <b val="1"/>
        <color rgb="FF52A46C"/>
        <sz val="9"/>
      </font>
      <fill>
        <patternFill patternType="solid">
          <fgColor rgb="FFD4EDDA"/>
        </patternFill>
      </fill>
    </dxf>
    <dxf>
      <font>
        <name val="Calibri"/>
        <b val="1"/>
        <color rgb="FFE8A838"/>
        <sz val="9"/>
      </font>
      <fill>
        <patternFill patternType="solid">
          <fgColor rgb="FFFDF0D5"/>
        </patternFill>
      </fill>
    </dxf>
    <dxf>
      <font>
        <name val="Calibri"/>
        <b val="1"/>
        <color rgb="FF5B8DB8"/>
        <sz val="9"/>
      </font>
      <fill>
        <patternFill patternType="solid">
          <fgColor rgb="FFD6E4F0"/>
        </patternFill>
      </fill>
    </dxf>
    <dxf>
      <font>
        <name val="Calibri"/>
        <b val="1"/>
        <color rgb="FFD4784A"/>
        <sz val="9"/>
      </font>
      <fill>
        <patternFill patternType="solid">
          <fgColor rgb="FFFAE0D4"/>
        </patternFill>
      </fill>
    </dxf>
    <dxf>
      <font>
        <name val="Calibri"/>
        <b val="1"/>
        <color rgb="FF52A46C"/>
        <sz val="9"/>
      </font>
      <fill>
        <patternFill patternType="solid">
          <fgColor rgb="FFD4EDDA"/>
        </patternFill>
      </fill>
    </dxf>
    <dxf>
      <font>
        <name val="Calibri"/>
        <b val="1"/>
        <color rgb="FFE8A838"/>
        <sz val="9"/>
      </font>
      <fill>
        <patternFill patternType="solid">
          <fgColor rgb="FFFDF0D5"/>
        </patternFill>
      </fill>
    </dxf>
    <dxf>
      <font>
        <name val="Calibri"/>
        <b val="1"/>
        <color rgb="FF5B8DB8"/>
        <sz val="9"/>
      </font>
      <fill>
        <patternFill patternType="solid">
          <fgColor rgb="FFD6E4F0"/>
        </patternFill>
      </fill>
    </dxf>
    <dxf>
      <font>
        <b val="1"/>
        <color rgb="FF9CA3AF"/>
      </font>
      <fill>
        <patternFill patternType="solid">
          <fgColor rgb="FFF3F4F6"/>
        </patternFill>
      </fill>
    </dxf>
    <dxf>
      <font>
        <b val="1"/>
        <color rgb="FF52A46C"/>
      </font>
      <fill>
        <patternFill patternType="solid">
          <fgColor rgb="FFD4EDDA"/>
        </patternFill>
      </fill>
    </dxf>
    <dxf>
      <font>
        <b val="1"/>
        <color rgb="FF5B8DB8"/>
      </font>
      <fill>
        <patternFill patternType="solid">
          <fgColor rgb="FFD6E4F0"/>
        </patternFill>
      </fill>
    </dxf>
    <dxf>
      <font>
        <b val="1"/>
        <color rgb="FFE8A838"/>
      </font>
      <fill>
        <patternFill patternType="solid">
          <fgColor rgb="FFFDF0D5"/>
        </patternFill>
      </fill>
    </dxf>
    <dxf>
      <font>
        <b val="1"/>
        <color rgb="FF52A46C"/>
      </font>
      <fill>
        <patternFill patternType="solid">
          <fgColor rgb="FFD4EDDA"/>
        </patternFill>
      </fill>
    </dxf>
    <dxf>
      <font>
        <b val="1"/>
        <color rgb="FF5B8DB8"/>
      </font>
      <fill>
        <patternFill patternType="solid">
          <fgColor rgb="FFD6E4F0"/>
        </patternFill>
      </fill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C05621"/>
        <sz val="10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276749"/>
        <sz val="10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name val="Calibri"/>
        <b val="1"/>
        <color rgb="FF1F497D"/>
        <sz val="10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1F497D"/>
        <sz val="10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C05621"/>
        <sz val="10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276749"/>
        <sz val="10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C05621"/>
        <sz val="10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1F497D"/>
        <sz val="10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name val="Calibri"/>
        <b val="1"/>
        <color rgb="FF276749"/>
        <sz val="10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276749"/>
        <sz val="10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C05621"/>
        <sz val="10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1F497D"/>
        <sz val="10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name val="Calibri"/>
        <b val="1"/>
        <color rgb="FF1F497D"/>
        <sz val="10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C05621"/>
        <sz val="10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276749"/>
        <sz val="10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C05621"/>
        <sz val="10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276749"/>
        <sz val="10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name val="Calibri"/>
        <b val="1"/>
        <color rgb="FF1F497D"/>
        <sz val="10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C05621"/>
        <sz val="10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276749"/>
        <sz val="10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name val="Calibri"/>
        <b val="1"/>
        <color rgb="FF1F497D"/>
        <sz val="10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C05621"/>
        <sz val="10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276749"/>
        <sz val="10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name val="Calibri"/>
        <b val="1"/>
        <color rgb="FF1F497D"/>
        <sz val="10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C05621"/>
        <sz val="10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276749"/>
        <sz val="10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name val="Calibri"/>
        <b val="1"/>
        <color rgb="FF1F497D"/>
        <sz val="10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name val="Calibri"/>
        <b val="1"/>
        <color rgb="FF276749"/>
        <sz val="10"/>
      </font>
      <fill>
        <patternFill patternType="solid">
          <fgColor rgb="FFD4EDDA"/>
        </patternFill>
      </fill>
      <border>
        <left style="thin">
          <color rgb="FF276749"/>
        </left>
        <right style="thin">
          <color rgb="FF276749"/>
        </right>
        <top style="thin">
          <color rgb="FF276749"/>
        </top>
        <bottom style="thin">
          <color rgb="FF276749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9B2C2C"/>
        <sz val="10"/>
      </font>
      <fill>
        <patternFill patternType="solid">
          <fgColor rgb="FFFED7D7"/>
        </patternFill>
      </fill>
      <border>
        <left style="thin">
          <color rgb="FF9B2C2C"/>
        </left>
        <right style="thin">
          <color rgb="FF9B2C2C"/>
        </right>
        <top style="thin">
          <color rgb="FF9B2C2C"/>
        </top>
        <bottom style="thin">
          <color rgb="FF9B2C2C"/>
        </bottom>
      </border>
    </dxf>
    <dxf>
      <font>
        <name val="Calibri"/>
        <b val="1"/>
        <color rgb="FF4A5568"/>
        <sz val="10"/>
      </font>
      <fill>
        <patternFill patternType="solid">
          <fgColor rgb="FFE2E8F0"/>
        </patternFill>
      </fill>
      <border>
        <left style="thin">
          <color rgb="FF4A5568"/>
        </left>
        <right style="thin">
          <color rgb="FF4A5568"/>
        </right>
        <top style="thin">
          <color rgb="FF4A5568"/>
        </top>
        <bottom style="thin">
          <color rgb="FF4A5568"/>
        </bottom>
      </border>
    </dxf>
    <dxf>
      <font>
        <name val="Calibri"/>
        <b val="1"/>
        <color rgb="FFC05621"/>
        <sz val="10"/>
      </font>
      <fill>
        <patternFill patternType="solid">
          <fgColor rgb="FFFEEBC8"/>
        </patternFill>
      </fill>
      <border>
        <left style="thin">
          <color rgb="FFC05621"/>
        </left>
        <right style="thin">
          <color rgb="FFC05621"/>
        </right>
        <top style="thin">
          <color rgb="FFC05621"/>
        </top>
        <bottom style="thin">
          <color rgb="FFC05621"/>
        </bottom>
      </border>
    </dxf>
    <dxf>
      <font>
        <name val="Calibri"/>
        <b val="1"/>
        <color rgb="FF22543D"/>
        <sz val="10"/>
      </font>
      <fill>
        <patternFill patternType="solid">
          <fgColor rgb="FFC6F6D5"/>
        </patternFill>
      </fill>
      <border>
        <left style="thin">
          <color rgb="FF22543D"/>
        </left>
        <right style="thin">
          <color rgb="FF22543D"/>
        </right>
        <top style="thin">
          <color rgb="FF22543D"/>
        </top>
        <bottom style="thin">
          <color rgb="FF22543D"/>
        </bottom>
      </border>
    </dxf>
    <dxf>
      <font>
        <name val="Calibri"/>
        <b val="1"/>
        <color rgb="FF1F497D"/>
        <sz val="10"/>
      </font>
      <fill>
        <patternFill patternType="solid">
          <fgColor rgb="FFD6E4F0"/>
        </patternFill>
      </fill>
      <border>
        <left style="thin">
          <color rgb="FF1F497D"/>
        </left>
        <right style="thin">
          <color rgb="FF1F497D"/>
        </right>
        <top style="thin">
          <color rgb="FF1F497D"/>
        </top>
        <bottom style="thin">
          <color rgb="FF1F497D"/>
        </bottom>
      </border>
    </dxf>
    <dxf>
      <font>
        <name val="Calibri"/>
        <strike val="1"/>
        <color rgb="FF888888"/>
        <sz val="10"/>
      </font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externalLink" Target="/xl/externalLinks/externalLink1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externalLinks/_rels/externalLink1.xml.rels><Relationships xmlns="http://schemas.openxmlformats.org/package/2006/relationships"><Relationship Type="http://schemas.microsoft.com/office/2006/relationships/xlExternalLinkPath/xlPathMissing" Target="Doing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oing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T205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5" customWidth="1" style="110" min="2" max="2"/>
    <col width="30" customWidth="1" style="110" min="3" max="3"/>
    <col width="12" customWidth="1" style="110" min="4" max="4"/>
    <col width="15" customWidth="1" style="110" min="5" max="5"/>
    <col width="12" customWidth="1" style="110" min="6" max="6"/>
    <col width="15" customWidth="1" style="110" min="7" max="7"/>
    <col width="12" customWidth="1" style="110" min="8" max="8"/>
    <col width="12" customWidth="1" style="110" min="9" max="9"/>
    <col width="12" customWidth="1" style="110" min="10" max="10"/>
    <col width="10" customWidth="1" style="110" min="11" max="11"/>
    <col width="10" customWidth="1" style="110" min="12" max="12"/>
    <col width="12" customWidth="1" style="110" min="13" max="13"/>
    <col width="15" customWidth="1" style="110" min="14" max="14"/>
    <col width="10" customWidth="1" style="110" min="15" max="15"/>
    <col width="12" customWidth="1" style="110" min="16" max="16"/>
    <col width="20" customWidth="1" style="110" min="17" max="17"/>
    <col width="12" customWidth="1" style="110" min="18" max="18"/>
    <col width="20" customWidth="1" style="110" min="19" max="19"/>
    <col width="12" customWidth="1" style="110" min="20" max="20"/>
  </cols>
  <sheetData>
    <row r="2">
      <c r="B2" s="224" t="inlineStr">
        <is>
          <t>PROJECT MANAGEMENT DASHBOARD (Detalhado)</t>
        </is>
      </c>
    </row>
    <row r="3"/>
    <row r="6">
      <c r="B6" s="225" t="inlineStr">
        <is>
          <t>Projeto</t>
        </is>
      </c>
      <c r="C6" s="225" t="inlineStr">
        <is>
          <t>Tarefa</t>
        </is>
      </c>
      <c r="D6" s="225" t="inlineStr">
        <is>
          <t>Status (Tar)</t>
        </is>
      </c>
      <c r="E6" s="225" t="inlineStr">
        <is>
          <t>Segmento</t>
        </is>
      </c>
      <c r="F6" s="225" t="inlineStr">
        <is>
          <t>Status (BMK)</t>
        </is>
      </c>
      <c r="G6" s="225" t="inlineStr">
        <is>
          <t>Tipo Trans.</t>
        </is>
      </c>
      <c r="H6" s="225" t="inlineStr">
        <is>
          <t>Status (ECF)</t>
        </is>
      </c>
      <c r="I6" s="225" t="inlineStr">
        <is>
          <t>Status (Memo)</t>
        </is>
      </c>
      <c r="J6" s="225" t="inlineStr">
        <is>
          <t>Status (LF)</t>
        </is>
      </c>
      <c r="K6" s="225" t="inlineStr">
        <is>
          <t>E-mail (LF)</t>
        </is>
      </c>
      <c r="L6" s="225" t="inlineStr">
        <is>
          <t>Cli. Ret (LF)</t>
        </is>
      </c>
      <c r="M6" s="225" t="inlineStr">
        <is>
          <t>Data (LF)</t>
        </is>
      </c>
      <c r="N6" s="225" t="inlineStr">
        <is>
          <t>Status (MF)</t>
        </is>
      </c>
      <c r="O6" s="225" t="inlineStr">
        <is>
          <t>E-mail (MF)</t>
        </is>
      </c>
      <c r="P6" s="225" t="inlineStr">
        <is>
          <t>Prev (MF)</t>
        </is>
      </c>
      <c r="Q6" s="225" t="inlineStr">
        <is>
          <t>Solicitação</t>
        </is>
      </c>
      <c r="R6" s="225" t="inlineStr">
        <is>
          <t>Status (Sol)</t>
        </is>
      </c>
      <c r="S6" s="225" t="inlineStr">
        <is>
          <t>Pendência</t>
        </is>
      </c>
      <c r="T6" s="225" t="inlineStr">
        <is>
          <t>Status (Pend)</t>
        </is>
      </c>
    </row>
    <row r="7">
      <c r="B7" s="226">
        <f>IF(AC2025!B6="","",AC2025!B6)</f>
        <v/>
      </c>
      <c r="C7" s="226">
        <f>IF(AC2025!E6="","",AC2025!E6)</f>
        <v/>
      </c>
      <c r="D7" s="227">
        <f>IF(AC2025!H6="","",AC2025!H6)</f>
        <v/>
      </c>
      <c r="E7" s="227">
        <f>IF(AC2025!K6="","",AC2025!K6)</f>
        <v/>
      </c>
      <c r="F7" s="227">
        <f>IF(AC2025!L6="","",AC2025!L6)</f>
        <v/>
      </c>
      <c r="G7" s="227">
        <f>IF(AC2025!P6="","",AC2025!P6)</f>
        <v/>
      </c>
      <c r="H7" s="227">
        <f>IF(AC2025!O6="","",AC2025!O6)</f>
        <v/>
      </c>
      <c r="I7" s="227">
        <f>IF(AC2025!U6="","",AC2025!U6)</f>
        <v/>
      </c>
      <c r="J7" s="227">
        <f>IF(AC2025!X6="","",AC2025!X6)</f>
        <v/>
      </c>
      <c r="K7" s="227">
        <f>IF(AC2025!Y6="","",AC2025!Y6)</f>
        <v/>
      </c>
      <c r="L7" s="227">
        <f>IF(AC2025!Z6="","",AC2025!Z6)</f>
        <v/>
      </c>
      <c r="M7" s="227">
        <f>IF(AC2025!AA6="","",AC2025!AA6)</f>
        <v/>
      </c>
      <c r="N7" s="227">
        <f>IF(AC2025!AD6="","",AC2025!AD6)</f>
        <v/>
      </c>
      <c r="O7" s="227">
        <f>IF(AC2025!AE6="","",AC2025!AE6)</f>
        <v/>
      </c>
      <c r="P7" s="227">
        <f>IF(AC2025!AF6="","",AC2025!AF6)</f>
        <v/>
      </c>
      <c r="Q7" s="226">
        <f>IF(AC2025!AI6="","",AC2025!AI6)</f>
        <v/>
      </c>
      <c r="R7" s="227">
        <f>IF(AC2025!AM6="","",AC2025!AM6)</f>
        <v/>
      </c>
      <c r="S7" s="226">
        <f>IF(AC2025!AP6="","",AC2025!AP6)</f>
        <v/>
      </c>
      <c r="T7" s="227">
        <f>IF(AC2025!AT6="","",AC2025!AT6)</f>
        <v/>
      </c>
    </row>
    <row r="8">
      <c r="B8" s="226">
        <f>IF(AC2025!B7="","",AC2025!B7)</f>
        <v/>
      </c>
      <c r="C8" s="226">
        <f>IF(AC2025!E7="","",AC2025!E7)</f>
        <v/>
      </c>
      <c r="D8" s="227">
        <f>IF(AC2025!H7="","",AC2025!H7)</f>
        <v/>
      </c>
      <c r="E8" s="227">
        <f>IF(AC2025!K7="","",AC2025!K7)</f>
        <v/>
      </c>
      <c r="F8" s="227">
        <f>IF(AC2025!L7="","",AC2025!L7)</f>
        <v/>
      </c>
      <c r="G8" s="227">
        <f>IF(AC2025!P7="","",AC2025!P7)</f>
        <v/>
      </c>
      <c r="H8" s="227">
        <f>IF(AC2025!O7="","",AC2025!O7)</f>
        <v/>
      </c>
      <c r="I8" s="227">
        <f>IF(AC2025!U7="","",AC2025!U7)</f>
        <v/>
      </c>
      <c r="J8" s="227">
        <f>IF(AC2025!X7="","",AC2025!X7)</f>
        <v/>
      </c>
      <c r="K8" s="227">
        <f>IF(AC2025!Y7="","",AC2025!Y7)</f>
        <v/>
      </c>
      <c r="L8" s="227">
        <f>IF(AC2025!Z7="","",AC2025!Z7)</f>
        <v/>
      </c>
      <c r="M8" s="227">
        <f>IF(AC2025!AA7="","",AC2025!AA7)</f>
        <v/>
      </c>
      <c r="N8" s="227">
        <f>IF(AC2025!AD7="","",AC2025!AD7)</f>
        <v/>
      </c>
      <c r="O8" s="227">
        <f>IF(AC2025!AE7="","",AC2025!AE7)</f>
        <v/>
      </c>
      <c r="P8" s="227">
        <f>IF(AC2025!AF7="","",AC2025!AF7)</f>
        <v/>
      </c>
      <c r="Q8" s="226">
        <f>IF(AC2025!AI7="","",AC2025!AI7)</f>
        <v/>
      </c>
      <c r="R8" s="227">
        <f>IF(AC2025!AM7="","",AC2025!AM7)</f>
        <v/>
      </c>
      <c r="S8" s="226">
        <f>IF(AC2025!AP7="","",AC2025!AP7)</f>
        <v/>
      </c>
      <c r="T8" s="227">
        <f>IF(AC2025!AT7="","",AC2025!AT7)</f>
        <v/>
      </c>
    </row>
    <row r="9">
      <c r="B9" s="226">
        <f>IF(AC2025!B8="","",AC2025!B8)</f>
        <v/>
      </c>
      <c r="C9" s="226">
        <f>IF(AC2025!E8="","",AC2025!E8)</f>
        <v/>
      </c>
      <c r="D9" s="227">
        <f>IF(AC2025!H8="","",AC2025!H8)</f>
        <v/>
      </c>
      <c r="E9" s="227">
        <f>IF(AC2025!K8="","",AC2025!K8)</f>
        <v/>
      </c>
      <c r="F9" s="227">
        <f>IF(AC2025!L8="","",AC2025!L8)</f>
        <v/>
      </c>
      <c r="G9" s="227">
        <f>IF(AC2025!P8="","",AC2025!P8)</f>
        <v/>
      </c>
      <c r="H9" s="227">
        <f>IF(AC2025!O8="","",AC2025!O8)</f>
        <v/>
      </c>
      <c r="I9" s="227">
        <f>IF(AC2025!U8="","",AC2025!U8)</f>
        <v/>
      </c>
      <c r="J9" s="227">
        <f>IF(AC2025!X8="","",AC2025!X8)</f>
        <v/>
      </c>
      <c r="K9" s="227">
        <f>IF(AC2025!Y8="","",AC2025!Y8)</f>
        <v/>
      </c>
      <c r="L9" s="227">
        <f>IF(AC2025!Z8="","",AC2025!Z8)</f>
        <v/>
      </c>
      <c r="M9" s="227">
        <f>IF(AC2025!AA8="","",AC2025!AA8)</f>
        <v/>
      </c>
      <c r="N9" s="227">
        <f>IF(AC2025!AD8="","",AC2025!AD8)</f>
        <v/>
      </c>
      <c r="O9" s="227">
        <f>IF(AC2025!AE8="","",AC2025!AE8)</f>
        <v/>
      </c>
      <c r="P9" s="227">
        <f>IF(AC2025!AF8="","",AC2025!AF8)</f>
        <v/>
      </c>
      <c r="Q9" s="226">
        <f>IF(AC2025!AI8="","",AC2025!AI8)</f>
        <v/>
      </c>
      <c r="R9" s="227">
        <f>IF(AC2025!AM8="","",AC2025!AM8)</f>
        <v/>
      </c>
      <c r="S9" s="226">
        <f>IF(AC2025!AP8="","",AC2025!AP8)</f>
        <v/>
      </c>
      <c r="T9" s="227">
        <f>IF(AC2025!AT8="","",AC2025!AT8)</f>
        <v/>
      </c>
    </row>
    <row r="10">
      <c r="B10" s="226">
        <f>IF(AC2025!B9="","",AC2025!B9)</f>
        <v/>
      </c>
      <c r="C10" s="226">
        <f>IF(AC2025!E9="","",AC2025!E9)</f>
        <v/>
      </c>
      <c r="D10" s="227">
        <f>IF(AC2025!H9="","",AC2025!H9)</f>
        <v/>
      </c>
      <c r="E10" s="227">
        <f>IF(AC2025!K9="","",AC2025!K9)</f>
        <v/>
      </c>
      <c r="F10" s="227">
        <f>IF(AC2025!L9="","",AC2025!L9)</f>
        <v/>
      </c>
      <c r="G10" s="227">
        <f>IF(AC2025!P9="","",AC2025!P9)</f>
        <v/>
      </c>
      <c r="H10" s="227">
        <f>IF(AC2025!O9="","",AC2025!O9)</f>
        <v/>
      </c>
      <c r="I10" s="227">
        <f>IF(AC2025!U9="","",AC2025!U9)</f>
        <v/>
      </c>
      <c r="J10" s="227">
        <f>IF(AC2025!X9="","",AC2025!X9)</f>
        <v/>
      </c>
      <c r="K10" s="227">
        <f>IF(AC2025!Y9="","",AC2025!Y9)</f>
        <v/>
      </c>
      <c r="L10" s="227">
        <f>IF(AC2025!Z9="","",AC2025!Z9)</f>
        <v/>
      </c>
      <c r="M10" s="227">
        <f>IF(AC2025!AA9="","",AC2025!AA9)</f>
        <v/>
      </c>
      <c r="N10" s="227">
        <f>IF(AC2025!AD9="","",AC2025!AD9)</f>
        <v/>
      </c>
      <c r="O10" s="227">
        <f>IF(AC2025!AE9="","",AC2025!AE9)</f>
        <v/>
      </c>
      <c r="P10" s="227">
        <f>IF(AC2025!AF9="","",AC2025!AF9)</f>
        <v/>
      </c>
      <c r="Q10" s="226">
        <f>IF(AC2025!AI9="","",AC2025!AI9)</f>
        <v/>
      </c>
      <c r="R10" s="227">
        <f>IF(AC2025!AM9="","",AC2025!AM9)</f>
        <v/>
      </c>
      <c r="S10" s="226">
        <f>IF(AC2025!AP9="","",AC2025!AP9)</f>
        <v/>
      </c>
      <c r="T10" s="227">
        <f>IF(AC2025!AT9="","",AC2025!AT9)</f>
        <v/>
      </c>
    </row>
    <row r="11">
      <c r="B11" s="226">
        <f>IF(AC2025!B10="","",AC2025!B10)</f>
        <v/>
      </c>
      <c r="C11" s="226">
        <f>IF(AC2025!E10="","",AC2025!E10)</f>
        <v/>
      </c>
      <c r="D11" s="227">
        <f>IF(AC2025!H10="","",AC2025!H10)</f>
        <v/>
      </c>
      <c r="E11" s="227">
        <f>IF(AC2025!K10="","",AC2025!K10)</f>
        <v/>
      </c>
      <c r="F11" s="227">
        <f>IF(AC2025!L10="","",AC2025!L10)</f>
        <v/>
      </c>
      <c r="G11" s="227">
        <f>IF(AC2025!P10="","",AC2025!P10)</f>
        <v/>
      </c>
      <c r="H11" s="227">
        <f>IF(AC2025!O10="","",AC2025!O10)</f>
        <v/>
      </c>
      <c r="I11" s="227">
        <f>IF(AC2025!U10="","",AC2025!U10)</f>
        <v/>
      </c>
      <c r="J11" s="227">
        <f>IF(AC2025!X10="","",AC2025!X10)</f>
        <v/>
      </c>
      <c r="K11" s="227">
        <f>IF(AC2025!Y10="","",AC2025!Y10)</f>
        <v/>
      </c>
      <c r="L11" s="227">
        <f>IF(AC2025!Z10="","",AC2025!Z10)</f>
        <v/>
      </c>
      <c r="M11" s="227">
        <f>IF(AC2025!AA10="","",AC2025!AA10)</f>
        <v/>
      </c>
      <c r="N11" s="227">
        <f>IF(AC2025!AD10="","",AC2025!AD10)</f>
        <v/>
      </c>
      <c r="O11" s="227">
        <f>IF(AC2025!AE10="","",AC2025!AE10)</f>
        <v/>
      </c>
      <c r="P11" s="227">
        <f>IF(AC2025!AF10="","",AC2025!AF10)</f>
        <v/>
      </c>
      <c r="Q11" s="226">
        <f>IF(AC2025!AI10="","",AC2025!AI10)</f>
        <v/>
      </c>
      <c r="R11" s="227">
        <f>IF(AC2025!AM10="","",AC2025!AM10)</f>
        <v/>
      </c>
      <c r="S11" s="226">
        <f>IF(AC2025!AP10="","",AC2025!AP10)</f>
        <v/>
      </c>
      <c r="T11" s="227">
        <f>IF(AC2025!AT10="","",AC2025!AT10)</f>
        <v/>
      </c>
    </row>
    <row r="12">
      <c r="B12" s="226">
        <f>IF(AC2025!B11="","",AC2025!B11)</f>
        <v/>
      </c>
      <c r="C12" s="226">
        <f>IF(AC2025!E11="","",AC2025!E11)</f>
        <v/>
      </c>
      <c r="D12" s="227">
        <f>IF(AC2025!H11="","",AC2025!H11)</f>
        <v/>
      </c>
      <c r="E12" s="227">
        <f>IF(AC2025!K11="","",AC2025!K11)</f>
        <v/>
      </c>
      <c r="F12" s="227">
        <f>IF(AC2025!L11="","",AC2025!L11)</f>
        <v/>
      </c>
      <c r="G12" s="227">
        <f>IF(AC2025!P11="","",AC2025!P11)</f>
        <v/>
      </c>
      <c r="H12" s="227">
        <f>IF(AC2025!O11="","",AC2025!O11)</f>
        <v/>
      </c>
      <c r="I12" s="227">
        <f>IF(AC2025!U11="","",AC2025!U11)</f>
        <v/>
      </c>
      <c r="J12" s="227">
        <f>IF(AC2025!X11="","",AC2025!X11)</f>
        <v/>
      </c>
      <c r="K12" s="227">
        <f>IF(AC2025!Y11="","",AC2025!Y11)</f>
        <v/>
      </c>
      <c r="L12" s="227">
        <f>IF(AC2025!Z11="","",AC2025!Z11)</f>
        <v/>
      </c>
      <c r="M12" s="227">
        <f>IF(AC2025!AA11="","",AC2025!AA11)</f>
        <v/>
      </c>
      <c r="N12" s="227">
        <f>IF(AC2025!AD11="","",AC2025!AD11)</f>
        <v/>
      </c>
      <c r="O12" s="227">
        <f>IF(AC2025!AE11="","",AC2025!AE11)</f>
        <v/>
      </c>
      <c r="P12" s="227">
        <f>IF(AC2025!AF11="","",AC2025!AF11)</f>
        <v/>
      </c>
      <c r="Q12" s="226">
        <f>IF(AC2025!AI11="","",AC2025!AI11)</f>
        <v/>
      </c>
      <c r="R12" s="227">
        <f>IF(AC2025!AM11="","",AC2025!AM11)</f>
        <v/>
      </c>
      <c r="S12" s="226">
        <f>IF(AC2025!AP11="","",AC2025!AP11)</f>
        <v/>
      </c>
      <c r="T12" s="227">
        <f>IF(AC2025!AT11="","",AC2025!AT11)</f>
        <v/>
      </c>
    </row>
    <row r="13">
      <c r="B13" s="226">
        <f>IF(AC2025!B12="","",AC2025!B12)</f>
        <v/>
      </c>
      <c r="C13" s="226">
        <f>IF(AC2025!E12="","",AC2025!E12)</f>
        <v/>
      </c>
      <c r="D13" s="227">
        <f>IF(AC2025!H12="","",AC2025!H12)</f>
        <v/>
      </c>
      <c r="E13" s="227">
        <f>IF(AC2025!K12="","",AC2025!K12)</f>
        <v/>
      </c>
      <c r="F13" s="227">
        <f>IF(AC2025!L12="","",AC2025!L12)</f>
        <v/>
      </c>
      <c r="G13" s="227">
        <f>IF(AC2025!P12="","",AC2025!P12)</f>
        <v/>
      </c>
      <c r="H13" s="227">
        <f>IF(AC2025!O12="","",AC2025!O12)</f>
        <v/>
      </c>
      <c r="I13" s="227">
        <f>IF(AC2025!U12="","",AC2025!U12)</f>
        <v/>
      </c>
      <c r="J13" s="227">
        <f>IF(AC2025!X12="","",AC2025!X12)</f>
        <v/>
      </c>
      <c r="K13" s="227">
        <f>IF(AC2025!Y12="","",AC2025!Y12)</f>
        <v/>
      </c>
      <c r="L13" s="227">
        <f>IF(AC2025!Z12="","",AC2025!Z12)</f>
        <v/>
      </c>
      <c r="M13" s="227">
        <f>IF(AC2025!AA12="","",AC2025!AA12)</f>
        <v/>
      </c>
      <c r="N13" s="227">
        <f>IF(AC2025!AD12="","",AC2025!AD12)</f>
        <v/>
      </c>
      <c r="O13" s="227">
        <f>IF(AC2025!AE12="","",AC2025!AE12)</f>
        <v/>
      </c>
      <c r="P13" s="227">
        <f>IF(AC2025!AF12="","",AC2025!AF12)</f>
        <v/>
      </c>
      <c r="Q13" s="226">
        <f>IF(AC2025!AI12="","",AC2025!AI12)</f>
        <v/>
      </c>
      <c r="R13" s="227">
        <f>IF(AC2025!AM12="","",AC2025!AM12)</f>
        <v/>
      </c>
      <c r="S13" s="226">
        <f>IF(AC2025!AP12="","",AC2025!AP12)</f>
        <v/>
      </c>
      <c r="T13" s="227">
        <f>IF(AC2025!AT12="","",AC2025!AT12)</f>
        <v/>
      </c>
    </row>
    <row r="14">
      <c r="B14" s="226">
        <f>IF(AC2025!B13="","",AC2025!B13)</f>
        <v/>
      </c>
      <c r="C14" s="226">
        <f>IF(AC2025!E13="","",AC2025!E13)</f>
        <v/>
      </c>
      <c r="D14" s="227">
        <f>IF(AC2025!H13="","",AC2025!H13)</f>
        <v/>
      </c>
      <c r="E14" s="227">
        <f>IF(AC2025!K13="","",AC2025!K13)</f>
        <v/>
      </c>
      <c r="F14" s="227">
        <f>IF(AC2025!L13="","",AC2025!L13)</f>
        <v/>
      </c>
      <c r="G14" s="227">
        <f>IF(AC2025!P13="","",AC2025!P13)</f>
        <v/>
      </c>
      <c r="H14" s="227">
        <f>IF(AC2025!O13="","",AC2025!O13)</f>
        <v/>
      </c>
      <c r="I14" s="227">
        <f>IF(AC2025!U13="","",AC2025!U13)</f>
        <v/>
      </c>
      <c r="J14" s="227">
        <f>IF(AC2025!X13="","",AC2025!X13)</f>
        <v/>
      </c>
      <c r="K14" s="227">
        <f>IF(AC2025!Y13="","",AC2025!Y13)</f>
        <v/>
      </c>
      <c r="L14" s="227">
        <f>IF(AC2025!Z13="","",AC2025!Z13)</f>
        <v/>
      </c>
      <c r="M14" s="227">
        <f>IF(AC2025!AA13="","",AC2025!AA13)</f>
        <v/>
      </c>
      <c r="N14" s="227">
        <f>IF(AC2025!AD13="","",AC2025!AD13)</f>
        <v/>
      </c>
      <c r="O14" s="227">
        <f>IF(AC2025!AE13="","",AC2025!AE13)</f>
        <v/>
      </c>
      <c r="P14" s="227">
        <f>IF(AC2025!AF13="","",AC2025!AF13)</f>
        <v/>
      </c>
      <c r="Q14" s="226">
        <f>IF(AC2025!AI13="","",AC2025!AI13)</f>
        <v/>
      </c>
      <c r="R14" s="227">
        <f>IF(AC2025!AM13="","",AC2025!AM13)</f>
        <v/>
      </c>
      <c r="S14" s="226">
        <f>IF(AC2025!AP13="","",AC2025!AP13)</f>
        <v/>
      </c>
      <c r="T14" s="227">
        <f>IF(AC2025!AT13="","",AC2025!AT13)</f>
        <v/>
      </c>
    </row>
    <row r="15">
      <c r="B15" s="226">
        <f>IF(AC2025!B14="","",AC2025!B14)</f>
        <v/>
      </c>
      <c r="C15" s="226">
        <f>IF(AC2025!E14="","",AC2025!E14)</f>
        <v/>
      </c>
      <c r="D15" s="227">
        <f>IF(AC2025!H14="","",AC2025!H14)</f>
        <v/>
      </c>
      <c r="E15" s="227">
        <f>IF(AC2025!K14="","",AC2025!K14)</f>
        <v/>
      </c>
      <c r="F15" s="227">
        <f>IF(AC2025!L14="","",AC2025!L14)</f>
        <v/>
      </c>
      <c r="G15" s="227">
        <f>IF(AC2025!P14="","",AC2025!P14)</f>
        <v/>
      </c>
      <c r="H15" s="227">
        <f>IF(AC2025!O14="","",AC2025!O14)</f>
        <v/>
      </c>
      <c r="I15" s="227">
        <f>IF(AC2025!U14="","",AC2025!U14)</f>
        <v/>
      </c>
      <c r="J15" s="227">
        <f>IF(AC2025!X14="","",AC2025!X14)</f>
        <v/>
      </c>
      <c r="K15" s="227">
        <f>IF(AC2025!Y14="","",AC2025!Y14)</f>
        <v/>
      </c>
      <c r="L15" s="227">
        <f>IF(AC2025!Z14="","",AC2025!Z14)</f>
        <v/>
      </c>
      <c r="M15" s="227">
        <f>IF(AC2025!AA14="","",AC2025!AA14)</f>
        <v/>
      </c>
      <c r="N15" s="227">
        <f>IF(AC2025!AD14="","",AC2025!AD14)</f>
        <v/>
      </c>
      <c r="O15" s="227">
        <f>IF(AC2025!AE14="","",AC2025!AE14)</f>
        <v/>
      </c>
      <c r="P15" s="227">
        <f>IF(AC2025!AF14="","",AC2025!AF14)</f>
        <v/>
      </c>
      <c r="Q15" s="226">
        <f>IF(AC2025!AI14="","",AC2025!AI14)</f>
        <v/>
      </c>
      <c r="R15" s="227">
        <f>IF(AC2025!AM14="","",AC2025!AM14)</f>
        <v/>
      </c>
      <c r="S15" s="226">
        <f>IF(AC2025!AP14="","",AC2025!AP14)</f>
        <v/>
      </c>
      <c r="T15" s="227">
        <f>IF(AC2025!AT14="","",AC2025!AT14)</f>
        <v/>
      </c>
    </row>
    <row r="16">
      <c r="B16" s="226">
        <f>IF(AC2025!B15="","",AC2025!B15)</f>
        <v/>
      </c>
      <c r="C16" s="226">
        <f>IF(AC2025!E15="","",AC2025!E15)</f>
        <v/>
      </c>
      <c r="D16" s="227">
        <f>IF(AC2025!H15="","",AC2025!H15)</f>
        <v/>
      </c>
      <c r="E16" s="227">
        <f>IF(AC2025!K15="","",AC2025!K15)</f>
        <v/>
      </c>
      <c r="F16" s="227">
        <f>IF(AC2025!L15="","",AC2025!L15)</f>
        <v/>
      </c>
      <c r="G16" s="227">
        <f>IF(AC2025!P15="","",AC2025!P15)</f>
        <v/>
      </c>
      <c r="H16" s="227">
        <f>IF(AC2025!O15="","",AC2025!O15)</f>
        <v/>
      </c>
      <c r="I16" s="227">
        <f>IF(AC2025!U15="","",AC2025!U15)</f>
        <v/>
      </c>
      <c r="J16" s="227">
        <f>IF(AC2025!X15="","",AC2025!X15)</f>
        <v/>
      </c>
      <c r="K16" s="227">
        <f>IF(AC2025!Y15="","",AC2025!Y15)</f>
        <v/>
      </c>
      <c r="L16" s="227">
        <f>IF(AC2025!Z15="","",AC2025!Z15)</f>
        <v/>
      </c>
      <c r="M16" s="227">
        <f>IF(AC2025!AA15="","",AC2025!AA15)</f>
        <v/>
      </c>
      <c r="N16" s="227">
        <f>IF(AC2025!AD15="","",AC2025!AD15)</f>
        <v/>
      </c>
      <c r="O16" s="227">
        <f>IF(AC2025!AE15="","",AC2025!AE15)</f>
        <v/>
      </c>
      <c r="P16" s="227">
        <f>IF(AC2025!AF15="","",AC2025!AF15)</f>
        <v/>
      </c>
      <c r="Q16" s="226">
        <f>IF(AC2025!AI15="","",AC2025!AI15)</f>
        <v/>
      </c>
      <c r="R16" s="227">
        <f>IF(AC2025!AM15="","",AC2025!AM15)</f>
        <v/>
      </c>
      <c r="S16" s="226">
        <f>IF(AC2025!AP15="","",AC2025!AP15)</f>
        <v/>
      </c>
      <c r="T16" s="227">
        <f>IF(AC2025!AT15="","",AC2025!AT15)</f>
        <v/>
      </c>
    </row>
    <row r="17">
      <c r="B17" s="226">
        <f>IF(AC2025!B16="","",AC2025!B16)</f>
        <v/>
      </c>
      <c r="C17" s="226">
        <f>IF(AC2025!E16="","",AC2025!E16)</f>
        <v/>
      </c>
      <c r="D17" s="227">
        <f>IF(AC2025!H16="","",AC2025!H16)</f>
        <v/>
      </c>
      <c r="E17" s="227">
        <f>IF(AC2025!K16="","",AC2025!K16)</f>
        <v/>
      </c>
      <c r="F17" s="227">
        <f>IF(AC2025!L16="","",AC2025!L16)</f>
        <v/>
      </c>
      <c r="G17" s="227">
        <f>IF(AC2025!P16="","",AC2025!P16)</f>
        <v/>
      </c>
      <c r="H17" s="227">
        <f>IF(AC2025!O16="","",AC2025!O16)</f>
        <v/>
      </c>
      <c r="I17" s="227">
        <f>IF(AC2025!U16="","",AC2025!U16)</f>
        <v/>
      </c>
      <c r="J17" s="227">
        <f>IF(AC2025!X16="","",AC2025!X16)</f>
        <v/>
      </c>
      <c r="K17" s="227">
        <f>IF(AC2025!Y16="","",AC2025!Y16)</f>
        <v/>
      </c>
      <c r="L17" s="227">
        <f>IF(AC2025!Z16="","",AC2025!Z16)</f>
        <v/>
      </c>
      <c r="M17" s="227">
        <f>IF(AC2025!AA16="","",AC2025!AA16)</f>
        <v/>
      </c>
      <c r="N17" s="227">
        <f>IF(AC2025!AD16="","",AC2025!AD16)</f>
        <v/>
      </c>
      <c r="O17" s="227">
        <f>IF(AC2025!AE16="","",AC2025!AE16)</f>
        <v/>
      </c>
      <c r="P17" s="227">
        <f>IF(AC2025!AF16="","",AC2025!AF16)</f>
        <v/>
      </c>
      <c r="Q17" s="226">
        <f>IF(AC2025!AI16="","",AC2025!AI16)</f>
        <v/>
      </c>
      <c r="R17" s="227">
        <f>IF(AC2025!AM16="","",AC2025!AM16)</f>
        <v/>
      </c>
      <c r="S17" s="226">
        <f>IF(AC2025!AP16="","",AC2025!AP16)</f>
        <v/>
      </c>
      <c r="T17" s="227">
        <f>IF(AC2025!AT16="","",AC2025!AT16)</f>
        <v/>
      </c>
    </row>
    <row r="18">
      <c r="B18" s="226">
        <f>IF(AC2025!B17="","",AC2025!B17)</f>
        <v/>
      </c>
      <c r="C18" s="226">
        <f>IF(AC2025!E17="","",AC2025!E17)</f>
        <v/>
      </c>
      <c r="D18" s="227">
        <f>IF(AC2025!H17="","",AC2025!H17)</f>
        <v/>
      </c>
      <c r="E18" s="227">
        <f>IF(AC2025!K17="","",AC2025!K17)</f>
        <v/>
      </c>
      <c r="F18" s="227">
        <f>IF(AC2025!L17="","",AC2025!L17)</f>
        <v/>
      </c>
      <c r="G18" s="227">
        <f>IF(AC2025!P17="","",AC2025!P17)</f>
        <v/>
      </c>
      <c r="H18" s="227">
        <f>IF(AC2025!O17="","",AC2025!O17)</f>
        <v/>
      </c>
      <c r="I18" s="227">
        <f>IF(AC2025!U17="","",AC2025!U17)</f>
        <v/>
      </c>
      <c r="J18" s="227">
        <f>IF(AC2025!X17="","",AC2025!X17)</f>
        <v/>
      </c>
      <c r="K18" s="227">
        <f>IF(AC2025!Y17="","",AC2025!Y17)</f>
        <v/>
      </c>
      <c r="L18" s="227">
        <f>IF(AC2025!Z17="","",AC2025!Z17)</f>
        <v/>
      </c>
      <c r="M18" s="227">
        <f>IF(AC2025!AA17="","",AC2025!AA17)</f>
        <v/>
      </c>
      <c r="N18" s="227">
        <f>IF(AC2025!AD17="","",AC2025!AD17)</f>
        <v/>
      </c>
      <c r="O18" s="227">
        <f>IF(AC2025!AE17="","",AC2025!AE17)</f>
        <v/>
      </c>
      <c r="P18" s="227">
        <f>IF(AC2025!AF17="","",AC2025!AF17)</f>
        <v/>
      </c>
      <c r="Q18" s="226">
        <f>IF(AC2025!AI17="","",AC2025!AI17)</f>
        <v/>
      </c>
      <c r="R18" s="227">
        <f>IF(AC2025!AM17="","",AC2025!AM17)</f>
        <v/>
      </c>
      <c r="S18" s="226">
        <f>IF(AC2025!AP17="","",AC2025!AP17)</f>
        <v/>
      </c>
      <c r="T18" s="227">
        <f>IF(AC2025!AT17="","",AC2025!AT17)</f>
        <v/>
      </c>
    </row>
    <row r="19">
      <c r="B19" s="226">
        <f>IF(AC2025!B18="","",AC2025!B18)</f>
        <v/>
      </c>
      <c r="C19" s="226">
        <f>IF(AC2025!E18="","",AC2025!E18)</f>
        <v/>
      </c>
      <c r="D19" s="227">
        <f>IF(AC2025!H18="","",AC2025!H18)</f>
        <v/>
      </c>
      <c r="E19" s="227">
        <f>IF(AC2025!K18="","",AC2025!K18)</f>
        <v/>
      </c>
      <c r="F19" s="227">
        <f>IF(AC2025!L18="","",AC2025!L18)</f>
        <v/>
      </c>
      <c r="G19" s="227">
        <f>IF(AC2025!P18="","",AC2025!P18)</f>
        <v/>
      </c>
      <c r="H19" s="227">
        <f>IF(AC2025!O18="","",AC2025!O18)</f>
        <v/>
      </c>
      <c r="I19" s="227">
        <f>IF(AC2025!U18="","",AC2025!U18)</f>
        <v/>
      </c>
      <c r="J19" s="227">
        <f>IF(AC2025!X18="","",AC2025!X18)</f>
        <v/>
      </c>
      <c r="K19" s="227">
        <f>IF(AC2025!Y18="","",AC2025!Y18)</f>
        <v/>
      </c>
      <c r="L19" s="227">
        <f>IF(AC2025!Z18="","",AC2025!Z18)</f>
        <v/>
      </c>
      <c r="M19" s="227">
        <f>IF(AC2025!AA18="","",AC2025!AA18)</f>
        <v/>
      </c>
      <c r="N19" s="227">
        <f>IF(AC2025!AD18="","",AC2025!AD18)</f>
        <v/>
      </c>
      <c r="O19" s="227">
        <f>IF(AC2025!AE18="","",AC2025!AE18)</f>
        <v/>
      </c>
      <c r="P19" s="227">
        <f>IF(AC2025!AF18="","",AC2025!AF18)</f>
        <v/>
      </c>
      <c r="Q19" s="226">
        <f>IF(AC2025!AI18="","",AC2025!AI18)</f>
        <v/>
      </c>
      <c r="R19" s="227">
        <f>IF(AC2025!AM18="","",AC2025!AM18)</f>
        <v/>
      </c>
      <c r="S19" s="226">
        <f>IF(AC2025!AP18="","",AC2025!AP18)</f>
        <v/>
      </c>
      <c r="T19" s="227">
        <f>IF(AC2025!AT18="","",AC2025!AT18)</f>
        <v/>
      </c>
    </row>
    <row r="20">
      <c r="B20" s="226">
        <f>IF(AC2025!B19="","",AC2025!B19)</f>
        <v/>
      </c>
      <c r="C20" s="226">
        <f>IF(AC2025!E19="","",AC2025!E19)</f>
        <v/>
      </c>
      <c r="D20" s="227">
        <f>IF(AC2025!H19="","",AC2025!H19)</f>
        <v/>
      </c>
      <c r="E20" s="227">
        <f>IF(AC2025!K19="","",AC2025!K19)</f>
        <v/>
      </c>
      <c r="F20" s="227">
        <f>IF(AC2025!L19="","",AC2025!L19)</f>
        <v/>
      </c>
      <c r="G20" s="227">
        <f>IF(AC2025!P19="","",AC2025!P19)</f>
        <v/>
      </c>
      <c r="H20" s="227">
        <f>IF(AC2025!O19="","",AC2025!O19)</f>
        <v/>
      </c>
      <c r="I20" s="227">
        <f>IF(AC2025!U19="","",AC2025!U19)</f>
        <v/>
      </c>
      <c r="J20" s="227">
        <f>IF(AC2025!X19="","",AC2025!X19)</f>
        <v/>
      </c>
      <c r="K20" s="227">
        <f>IF(AC2025!Y19="","",AC2025!Y19)</f>
        <v/>
      </c>
      <c r="L20" s="227">
        <f>IF(AC2025!Z19="","",AC2025!Z19)</f>
        <v/>
      </c>
      <c r="M20" s="227">
        <f>IF(AC2025!AA19="","",AC2025!AA19)</f>
        <v/>
      </c>
      <c r="N20" s="227">
        <f>IF(AC2025!AD19="","",AC2025!AD19)</f>
        <v/>
      </c>
      <c r="O20" s="227">
        <f>IF(AC2025!AE19="","",AC2025!AE19)</f>
        <v/>
      </c>
      <c r="P20" s="227">
        <f>IF(AC2025!AF19="","",AC2025!AF19)</f>
        <v/>
      </c>
      <c r="Q20" s="226">
        <f>IF(AC2025!AI19="","",AC2025!AI19)</f>
        <v/>
      </c>
      <c r="R20" s="227">
        <f>IF(AC2025!AM19="","",AC2025!AM19)</f>
        <v/>
      </c>
      <c r="S20" s="226">
        <f>IF(AC2025!AP19="","",AC2025!AP19)</f>
        <v/>
      </c>
      <c r="T20" s="227">
        <f>IF(AC2025!AT19="","",AC2025!AT19)</f>
        <v/>
      </c>
    </row>
    <row r="21">
      <c r="B21" s="226">
        <f>IF(AC2025!B20="","",AC2025!B20)</f>
        <v/>
      </c>
      <c r="C21" s="226">
        <f>IF(AC2025!E20="","",AC2025!E20)</f>
        <v/>
      </c>
      <c r="D21" s="227">
        <f>IF(AC2025!H20="","",AC2025!H20)</f>
        <v/>
      </c>
      <c r="E21" s="227">
        <f>IF(AC2025!K20="","",AC2025!K20)</f>
        <v/>
      </c>
      <c r="F21" s="227">
        <f>IF(AC2025!L20="","",AC2025!L20)</f>
        <v/>
      </c>
      <c r="G21" s="227">
        <f>IF(AC2025!P20="","",AC2025!P20)</f>
        <v/>
      </c>
      <c r="H21" s="227">
        <f>IF(AC2025!O20="","",AC2025!O20)</f>
        <v/>
      </c>
      <c r="I21" s="227">
        <f>IF(AC2025!U20="","",AC2025!U20)</f>
        <v/>
      </c>
      <c r="J21" s="227">
        <f>IF(AC2025!X20="","",AC2025!X20)</f>
        <v/>
      </c>
      <c r="K21" s="227">
        <f>IF(AC2025!Y20="","",AC2025!Y20)</f>
        <v/>
      </c>
      <c r="L21" s="227">
        <f>IF(AC2025!Z20="","",AC2025!Z20)</f>
        <v/>
      </c>
      <c r="M21" s="227">
        <f>IF(AC2025!AA20="","",AC2025!AA20)</f>
        <v/>
      </c>
      <c r="N21" s="227">
        <f>IF(AC2025!AD20="","",AC2025!AD20)</f>
        <v/>
      </c>
      <c r="O21" s="227">
        <f>IF(AC2025!AE20="","",AC2025!AE20)</f>
        <v/>
      </c>
      <c r="P21" s="227">
        <f>IF(AC2025!AF20="","",AC2025!AF20)</f>
        <v/>
      </c>
      <c r="Q21" s="226">
        <f>IF(AC2025!AI20="","",AC2025!AI20)</f>
        <v/>
      </c>
      <c r="R21" s="227">
        <f>IF(AC2025!AM20="","",AC2025!AM20)</f>
        <v/>
      </c>
      <c r="S21" s="226">
        <f>IF(AC2025!AP20="","",AC2025!AP20)</f>
        <v/>
      </c>
      <c r="T21" s="227">
        <f>IF(AC2025!AT20="","",AC2025!AT20)</f>
        <v/>
      </c>
    </row>
    <row r="22">
      <c r="B22" s="226">
        <f>IF(AC2025!B21="","",AC2025!B21)</f>
        <v/>
      </c>
      <c r="C22" s="226">
        <f>IF(AC2025!E21="","",AC2025!E21)</f>
        <v/>
      </c>
      <c r="D22" s="227">
        <f>IF(AC2025!H21="","",AC2025!H21)</f>
        <v/>
      </c>
      <c r="E22" s="227">
        <f>IF(AC2025!K21="","",AC2025!K21)</f>
        <v/>
      </c>
      <c r="F22" s="227">
        <f>IF(AC2025!L21="","",AC2025!L21)</f>
        <v/>
      </c>
      <c r="G22" s="227">
        <f>IF(AC2025!P21="","",AC2025!P21)</f>
        <v/>
      </c>
      <c r="H22" s="227">
        <f>IF(AC2025!O21="","",AC2025!O21)</f>
        <v/>
      </c>
      <c r="I22" s="227">
        <f>IF(AC2025!U21="","",AC2025!U21)</f>
        <v/>
      </c>
      <c r="J22" s="227">
        <f>IF(AC2025!X21="","",AC2025!X21)</f>
        <v/>
      </c>
      <c r="K22" s="227">
        <f>IF(AC2025!Y21="","",AC2025!Y21)</f>
        <v/>
      </c>
      <c r="L22" s="227">
        <f>IF(AC2025!Z21="","",AC2025!Z21)</f>
        <v/>
      </c>
      <c r="M22" s="227">
        <f>IF(AC2025!AA21="","",AC2025!AA21)</f>
        <v/>
      </c>
      <c r="N22" s="227">
        <f>IF(AC2025!AD21="","",AC2025!AD21)</f>
        <v/>
      </c>
      <c r="O22" s="227">
        <f>IF(AC2025!AE21="","",AC2025!AE21)</f>
        <v/>
      </c>
      <c r="P22" s="227">
        <f>IF(AC2025!AF21="","",AC2025!AF21)</f>
        <v/>
      </c>
      <c r="Q22" s="226">
        <f>IF(AC2025!AI21="","",AC2025!AI21)</f>
        <v/>
      </c>
      <c r="R22" s="227">
        <f>IF(AC2025!AM21="","",AC2025!AM21)</f>
        <v/>
      </c>
      <c r="S22" s="226">
        <f>IF(AC2025!AP21="","",AC2025!AP21)</f>
        <v/>
      </c>
      <c r="T22" s="227">
        <f>IF(AC2025!AT21="","",AC2025!AT21)</f>
        <v/>
      </c>
    </row>
    <row r="23">
      <c r="B23" s="226">
        <f>IF(AC2025!B22="","",AC2025!B22)</f>
        <v/>
      </c>
      <c r="C23" s="226">
        <f>IF(AC2025!E22="","",AC2025!E22)</f>
        <v/>
      </c>
      <c r="D23" s="227">
        <f>IF(AC2025!H22="","",AC2025!H22)</f>
        <v/>
      </c>
      <c r="E23" s="227">
        <f>IF(AC2025!K22="","",AC2025!K22)</f>
        <v/>
      </c>
      <c r="F23" s="227">
        <f>IF(AC2025!L22="","",AC2025!L22)</f>
        <v/>
      </c>
      <c r="G23" s="227">
        <f>IF(AC2025!P22="","",AC2025!P22)</f>
        <v/>
      </c>
      <c r="H23" s="227">
        <f>IF(AC2025!O22="","",AC2025!O22)</f>
        <v/>
      </c>
      <c r="I23" s="227">
        <f>IF(AC2025!U22="","",AC2025!U22)</f>
        <v/>
      </c>
      <c r="J23" s="227">
        <f>IF(AC2025!X22="","",AC2025!X22)</f>
        <v/>
      </c>
      <c r="K23" s="227">
        <f>IF(AC2025!Y22="","",AC2025!Y22)</f>
        <v/>
      </c>
      <c r="L23" s="227">
        <f>IF(AC2025!Z22="","",AC2025!Z22)</f>
        <v/>
      </c>
      <c r="M23" s="227">
        <f>IF(AC2025!AA22="","",AC2025!AA22)</f>
        <v/>
      </c>
      <c r="N23" s="227">
        <f>IF(AC2025!AD22="","",AC2025!AD22)</f>
        <v/>
      </c>
      <c r="O23" s="227">
        <f>IF(AC2025!AE22="","",AC2025!AE22)</f>
        <v/>
      </c>
      <c r="P23" s="227">
        <f>IF(AC2025!AF22="","",AC2025!AF22)</f>
        <v/>
      </c>
      <c r="Q23" s="226">
        <f>IF(AC2025!AI22="","",AC2025!AI22)</f>
        <v/>
      </c>
      <c r="R23" s="227">
        <f>IF(AC2025!AM22="","",AC2025!AM22)</f>
        <v/>
      </c>
      <c r="S23" s="226">
        <f>IF(AC2025!AP22="","",AC2025!AP22)</f>
        <v/>
      </c>
      <c r="T23" s="227">
        <f>IF(AC2025!AT22="","",AC2025!AT22)</f>
        <v/>
      </c>
    </row>
    <row r="24">
      <c r="B24" s="226">
        <f>IF(AC2025!B23="","",AC2025!B23)</f>
        <v/>
      </c>
      <c r="C24" s="226">
        <f>IF(AC2025!E23="","",AC2025!E23)</f>
        <v/>
      </c>
      <c r="D24" s="227">
        <f>IF(AC2025!H23="","",AC2025!H23)</f>
        <v/>
      </c>
      <c r="E24" s="227">
        <f>IF(AC2025!K23="","",AC2025!K23)</f>
        <v/>
      </c>
      <c r="F24" s="227">
        <f>IF(AC2025!L23="","",AC2025!L23)</f>
        <v/>
      </c>
      <c r="G24" s="227">
        <f>IF(AC2025!P23="","",AC2025!P23)</f>
        <v/>
      </c>
      <c r="H24" s="227">
        <f>IF(AC2025!O23="","",AC2025!O23)</f>
        <v/>
      </c>
      <c r="I24" s="227">
        <f>IF(AC2025!U23="","",AC2025!U23)</f>
        <v/>
      </c>
      <c r="J24" s="227">
        <f>IF(AC2025!X23="","",AC2025!X23)</f>
        <v/>
      </c>
      <c r="K24" s="227">
        <f>IF(AC2025!Y23="","",AC2025!Y23)</f>
        <v/>
      </c>
      <c r="L24" s="227">
        <f>IF(AC2025!Z23="","",AC2025!Z23)</f>
        <v/>
      </c>
      <c r="M24" s="227">
        <f>IF(AC2025!AA23="","",AC2025!AA23)</f>
        <v/>
      </c>
      <c r="N24" s="227">
        <f>IF(AC2025!AD23="","",AC2025!AD23)</f>
        <v/>
      </c>
      <c r="O24" s="227">
        <f>IF(AC2025!AE23="","",AC2025!AE23)</f>
        <v/>
      </c>
      <c r="P24" s="227">
        <f>IF(AC2025!AF23="","",AC2025!AF23)</f>
        <v/>
      </c>
      <c r="Q24" s="226">
        <f>IF(AC2025!AI23="","",AC2025!AI23)</f>
        <v/>
      </c>
      <c r="R24" s="227">
        <f>IF(AC2025!AM23="","",AC2025!AM23)</f>
        <v/>
      </c>
      <c r="S24" s="226">
        <f>IF(AC2025!AP23="","",AC2025!AP23)</f>
        <v/>
      </c>
      <c r="T24" s="227">
        <f>IF(AC2025!AT23="","",AC2025!AT23)</f>
        <v/>
      </c>
    </row>
    <row r="25">
      <c r="B25" s="226">
        <f>IF(AC2025!B24="","",AC2025!B24)</f>
        <v/>
      </c>
      <c r="C25" s="226">
        <f>IF(AC2025!E24="","",AC2025!E24)</f>
        <v/>
      </c>
      <c r="D25" s="227">
        <f>IF(AC2025!H24="","",AC2025!H24)</f>
        <v/>
      </c>
      <c r="E25" s="227">
        <f>IF(AC2025!K24="","",AC2025!K24)</f>
        <v/>
      </c>
      <c r="F25" s="227">
        <f>IF(AC2025!L24="","",AC2025!L24)</f>
        <v/>
      </c>
      <c r="G25" s="227">
        <f>IF(AC2025!P24="","",AC2025!P24)</f>
        <v/>
      </c>
      <c r="H25" s="227">
        <f>IF(AC2025!O24="","",AC2025!O24)</f>
        <v/>
      </c>
      <c r="I25" s="227">
        <f>IF(AC2025!U24="","",AC2025!U24)</f>
        <v/>
      </c>
      <c r="J25" s="227">
        <f>IF(AC2025!X24="","",AC2025!X24)</f>
        <v/>
      </c>
      <c r="K25" s="227">
        <f>IF(AC2025!Y24="","",AC2025!Y24)</f>
        <v/>
      </c>
      <c r="L25" s="227">
        <f>IF(AC2025!Z24="","",AC2025!Z24)</f>
        <v/>
      </c>
      <c r="M25" s="227">
        <f>IF(AC2025!AA24="","",AC2025!AA24)</f>
        <v/>
      </c>
      <c r="N25" s="227">
        <f>IF(AC2025!AD24="","",AC2025!AD24)</f>
        <v/>
      </c>
      <c r="O25" s="227">
        <f>IF(AC2025!AE24="","",AC2025!AE24)</f>
        <v/>
      </c>
      <c r="P25" s="227">
        <f>IF(AC2025!AF24="","",AC2025!AF24)</f>
        <v/>
      </c>
      <c r="Q25" s="226">
        <f>IF(AC2025!AI24="","",AC2025!AI24)</f>
        <v/>
      </c>
      <c r="R25" s="227">
        <f>IF(AC2025!AM24="","",AC2025!AM24)</f>
        <v/>
      </c>
      <c r="S25" s="226">
        <f>IF(AC2025!AP24="","",AC2025!AP24)</f>
        <v/>
      </c>
      <c r="T25" s="227">
        <f>IF(AC2025!AT24="","",AC2025!AT24)</f>
        <v/>
      </c>
    </row>
    <row r="26">
      <c r="B26" s="226">
        <f>IF(AC2025!B25="","",AC2025!B25)</f>
        <v/>
      </c>
      <c r="C26" s="226">
        <f>IF(AC2025!E25="","",AC2025!E25)</f>
        <v/>
      </c>
      <c r="D26" s="227">
        <f>IF(AC2025!H25="","",AC2025!H25)</f>
        <v/>
      </c>
      <c r="E26" s="227">
        <f>IF(AC2025!K25="","",AC2025!K25)</f>
        <v/>
      </c>
      <c r="F26" s="227">
        <f>IF(AC2025!L25="","",AC2025!L25)</f>
        <v/>
      </c>
      <c r="G26" s="227">
        <f>IF(AC2025!P25="","",AC2025!P25)</f>
        <v/>
      </c>
      <c r="H26" s="227">
        <f>IF(AC2025!O25="","",AC2025!O25)</f>
        <v/>
      </c>
      <c r="I26" s="227">
        <f>IF(AC2025!U25="","",AC2025!U25)</f>
        <v/>
      </c>
      <c r="J26" s="227">
        <f>IF(AC2025!X25="","",AC2025!X25)</f>
        <v/>
      </c>
      <c r="K26" s="227">
        <f>IF(AC2025!Y25="","",AC2025!Y25)</f>
        <v/>
      </c>
      <c r="L26" s="227">
        <f>IF(AC2025!Z25="","",AC2025!Z25)</f>
        <v/>
      </c>
      <c r="M26" s="227">
        <f>IF(AC2025!AA25="","",AC2025!AA25)</f>
        <v/>
      </c>
      <c r="N26" s="227">
        <f>IF(AC2025!AD25="","",AC2025!AD25)</f>
        <v/>
      </c>
      <c r="O26" s="227">
        <f>IF(AC2025!AE25="","",AC2025!AE25)</f>
        <v/>
      </c>
      <c r="P26" s="227">
        <f>IF(AC2025!AF25="","",AC2025!AF25)</f>
        <v/>
      </c>
      <c r="Q26" s="226">
        <f>IF(AC2025!AI25="","",AC2025!AI25)</f>
        <v/>
      </c>
      <c r="R26" s="227">
        <f>IF(AC2025!AM25="","",AC2025!AM25)</f>
        <v/>
      </c>
      <c r="S26" s="226">
        <f>IF(AC2025!AP25="","",AC2025!AP25)</f>
        <v/>
      </c>
      <c r="T26" s="227">
        <f>IF(AC2025!AT25="","",AC2025!AT25)</f>
        <v/>
      </c>
    </row>
    <row r="27">
      <c r="B27" s="226">
        <f>IF(AC2025!B26="","",AC2025!B26)</f>
        <v/>
      </c>
      <c r="C27" s="226">
        <f>IF(AC2025!E26="","",AC2025!E26)</f>
        <v/>
      </c>
      <c r="D27" s="227">
        <f>IF(AC2025!H26="","",AC2025!H26)</f>
        <v/>
      </c>
      <c r="E27" s="227">
        <f>IF(AC2025!K26="","",AC2025!K26)</f>
        <v/>
      </c>
      <c r="F27" s="227">
        <f>IF(AC2025!L26="","",AC2025!L26)</f>
        <v/>
      </c>
      <c r="G27" s="227">
        <f>IF(AC2025!P26="","",AC2025!P26)</f>
        <v/>
      </c>
      <c r="H27" s="227">
        <f>IF(AC2025!O26="","",AC2025!O26)</f>
        <v/>
      </c>
      <c r="I27" s="227">
        <f>IF(AC2025!U26="","",AC2025!U26)</f>
        <v/>
      </c>
      <c r="J27" s="227">
        <f>IF(AC2025!X26="","",AC2025!X26)</f>
        <v/>
      </c>
      <c r="K27" s="227">
        <f>IF(AC2025!Y26="","",AC2025!Y26)</f>
        <v/>
      </c>
      <c r="L27" s="227">
        <f>IF(AC2025!Z26="","",AC2025!Z26)</f>
        <v/>
      </c>
      <c r="M27" s="227">
        <f>IF(AC2025!AA26="","",AC2025!AA26)</f>
        <v/>
      </c>
      <c r="N27" s="227">
        <f>IF(AC2025!AD26="","",AC2025!AD26)</f>
        <v/>
      </c>
      <c r="O27" s="227">
        <f>IF(AC2025!AE26="","",AC2025!AE26)</f>
        <v/>
      </c>
      <c r="P27" s="227">
        <f>IF(AC2025!AF26="","",AC2025!AF26)</f>
        <v/>
      </c>
      <c r="Q27" s="226">
        <f>IF(AC2025!AI26="","",AC2025!AI26)</f>
        <v/>
      </c>
      <c r="R27" s="227">
        <f>IF(AC2025!AM26="","",AC2025!AM26)</f>
        <v/>
      </c>
      <c r="S27" s="226">
        <f>IF(AC2025!AP26="","",AC2025!AP26)</f>
        <v/>
      </c>
      <c r="T27" s="227">
        <f>IF(AC2025!AT26="","",AC2025!AT26)</f>
        <v/>
      </c>
    </row>
    <row r="28">
      <c r="B28" s="226">
        <f>IF(AC2025!B27="","",AC2025!B27)</f>
        <v/>
      </c>
      <c r="C28" s="226">
        <f>IF(AC2025!E27="","",AC2025!E27)</f>
        <v/>
      </c>
      <c r="D28" s="227">
        <f>IF(AC2025!H27="","",AC2025!H27)</f>
        <v/>
      </c>
      <c r="E28" s="227">
        <f>IF(AC2025!K27="","",AC2025!K27)</f>
        <v/>
      </c>
      <c r="F28" s="227">
        <f>IF(AC2025!L27="","",AC2025!L27)</f>
        <v/>
      </c>
      <c r="G28" s="227">
        <f>IF(AC2025!P27="","",AC2025!P27)</f>
        <v/>
      </c>
      <c r="H28" s="227">
        <f>IF(AC2025!O27="","",AC2025!O27)</f>
        <v/>
      </c>
      <c r="I28" s="227">
        <f>IF(AC2025!U27="","",AC2025!U27)</f>
        <v/>
      </c>
      <c r="J28" s="227">
        <f>IF(AC2025!X27="","",AC2025!X27)</f>
        <v/>
      </c>
      <c r="K28" s="227">
        <f>IF(AC2025!Y27="","",AC2025!Y27)</f>
        <v/>
      </c>
      <c r="L28" s="227">
        <f>IF(AC2025!Z27="","",AC2025!Z27)</f>
        <v/>
      </c>
      <c r="M28" s="227">
        <f>IF(AC2025!AA27="","",AC2025!AA27)</f>
        <v/>
      </c>
      <c r="N28" s="227">
        <f>IF(AC2025!AD27="","",AC2025!AD27)</f>
        <v/>
      </c>
      <c r="O28" s="227">
        <f>IF(AC2025!AE27="","",AC2025!AE27)</f>
        <v/>
      </c>
      <c r="P28" s="227">
        <f>IF(AC2025!AF27="","",AC2025!AF27)</f>
        <v/>
      </c>
      <c r="Q28" s="226">
        <f>IF(AC2025!AI27="","",AC2025!AI27)</f>
        <v/>
      </c>
      <c r="R28" s="227">
        <f>IF(AC2025!AM27="","",AC2025!AM27)</f>
        <v/>
      </c>
      <c r="S28" s="226">
        <f>IF(AC2025!AP27="","",AC2025!AP27)</f>
        <v/>
      </c>
      <c r="T28" s="227">
        <f>IF(AC2025!AT27="","",AC2025!AT27)</f>
        <v/>
      </c>
    </row>
    <row r="29">
      <c r="B29" s="226">
        <f>IF(AC2025!B28="","",AC2025!B28)</f>
        <v/>
      </c>
      <c r="C29" s="226">
        <f>IF(AC2025!E28="","",AC2025!E28)</f>
        <v/>
      </c>
      <c r="D29" s="227">
        <f>IF(AC2025!H28="","",AC2025!H28)</f>
        <v/>
      </c>
      <c r="E29" s="227">
        <f>IF(AC2025!K28="","",AC2025!K28)</f>
        <v/>
      </c>
      <c r="F29" s="227">
        <f>IF(AC2025!L28="","",AC2025!L28)</f>
        <v/>
      </c>
      <c r="G29" s="227">
        <f>IF(AC2025!P28="","",AC2025!P28)</f>
        <v/>
      </c>
      <c r="H29" s="227">
        <f>IF(AC2025!O28="","",AC2025!O28)</f>
        <v/>
      </c>
      <c r="I29" s="227">
        <f>IF(AC2025!U28="","",AC2025!U28)</f>
        <v/>
      </c>
      <c r="J29" s="227">
        <f>IF(AC2025!X28="","",AC2025!X28)</f>
        <v/>
      </c>
      <c r="K29" s="227">
        <f>IF(AC2025!Y28="","",AC2025!Y28)</f>
        <v/>
      </c>
      <c r="L29" s="227">
        <f>IF(AC2025!Z28="","",AC2025!Z28)</f>
        <v/>
      </c>
      <c r="M29" s="227">
        <f>IF(AC2025!AA28="","",AC2025!AA28)</f>
        <v/>
      </c>
      <c r="N29" s="227">
        <f>IF(AC2025!AD28="","",AC2025!AD28)</f>
        <v/>
      </c>
      <c r="O29" s="227">
        <f>IF(AC2025!AE28="","",AC2025!AE28)</f>
        <v/>
      </c>
      <c r="P29" s="227">
        <f>IF(AC2025!AF28="","",AC2025!AF28)</f>
        <v/>
      </c>
      <c r="Q29" s="226">
        <f>IF(AC2025!AI28="","",AC2025!AI28)</f>
        <v/>
      </c>
      <c r="R29" s="227">
        <f>IF(AC2025!AM28="","",AC2025!AM28)</f>
        <v/>
      </c>
      <c r="S29" s="226">
        <f>IF(AC2025!AP28="","",AC2025!AP28)</f>
        <v/>
      </c>
      <c r="T29" s="227">
        <f>IF(AC2025!AT28="","",AC2025!AT28)</f>
        <v/>
      </c>
    </row>
    <row r="30">
      <c r="B30" s="226">
        <f>IF(AC2025!B29="","",AC2025!B29)</f>
        <v/>
      </c>
      <c r="C30" s="226">
        <f>IF(AC2025!E29="","",AC2025!E29)</f>
        <v/>
      </c>
      <c r="D30" s="227">
        <f>IF(AC2025!H29="","",AC2025!H29)</f>
        <v/>
      </c>
      <c r="E30" s="227">
        <f>IF(AC2025!K29="","",AC2025!K29)</f>
        <v/>
      </c>
      <c r="F30" s="227">
        <f>IF(AC2025!L29="","",AC2025!L29)</f>
        <v/>
      </c>
      <c r="G30" s="227">
        <f>IF(AC2025!P29="","",AC2025!P29)</f>
        <v/>
      </c>
      <c r="H30" s="227">
        <f>IF(AC2025!O29="","",AC2025!O29)</f>
        <v/>
      </c>
      <c r="I30" s="227">
        <f>IF(AC2025!U29="","",AC2025!U29)</f>
        <v/>
      </c>
      <c r="J30" s="227">
        <f>IF(AC2025!X29="","",AC2025!X29)</f>
        <v/>
      </c>
      <c r="K30" s="227">
        <f>IF(AC2025!Y29="","",AC2025!Y29)</f>
        <v/>
      </c>
      <c r="L30" s="227">
        <f>IF(AC2025!Z29="","",AC2025!Z29)</f>
        <v/>
      </c>
      <c r="M30" s="227">
        <f>IF(AC2025!AA29="","",AC2025!AA29)</f>
        <v/>
      </c>
      <c r="N30" s="227">
        <f>IF(AC2025!AD29="","",AC2025!AD29)</f>
        <v/>
      </c>
      <c r="O30" s="227">
        <f>IF(AC2025!AE29="","",AC2025!AE29)</f>
        <v/>
      </c>
      <c r="P30" s="227">
        <f>IF(AC2025!AF29="","",AC2025!AF29)</f>
        <v/>
      </c>
      <c r="Q30" s="226">
        <f>IF(AC2025!AI29="","",AC2025!AI29)</f>
        <v/>
      </c>
      <c r="R30" s="227">
        <f>IF(AC2025!AM29="","",AC2025!AM29)</f>
        <v/>
      </c>
      <c r="S30" s="226">
        <f>IF(AC2025!AP29="","",AC2025!AP29)</f>
        <v/>
      </c>
      <c r="T30" s="227">
        <f>IF(AC2025!AT29="","",AC2025!AT29)</f>
        <v/>
      </c>
    </row>
    <row r="31">
      <c r="B31" s="226">
        <f>IF(AC2025!B30="","",AC2025!B30)</f>
        <v/>
      </c>
      <c r="C31" s="226">
        <f>IF(AC2025!E30="","",AC2025!E30)</f>
        <v/>
      </c>
      <c r="D31" s="227">
        <f>IF(AC2025!H30="","",AC2025!H30)</f>
        <v/>
      </c>
      <c r="E31" s="227">
        <f>IF(AC2025!K30="","",AC2025!K30)</f>
        <v/>
      </c>
      <c r="F31" s="227">
        <f>IF(AC2025!L30="","",AC2025!L30)</f>
        <v/>
      </c>
      <c r="G31" s="227">
        <f>IF(AC2025!P30="","",AC2025!P30)</f>
        <v/>
      </c>
      <c r="H31" s="227">
        <f>IF(AC2025!O30="","",AC2025!O30)</f>
        <v/>
      </c>
      <c r="I31" s="227">
        <f>IF(AC2025!U30="","",AC2025!U30)</f>
        <v/>
      </c>
      <c r="J31" s="227">
        <f>IF(AC2025!X30="","",AC2025!X30)</f>
        <v/>
      </c>
      <c r="K31" s="227">
        <f>IF(AC2025!Y30="","",AC2025!Y30)</f>
        <v/>
      </c>
      <c r="L31" s="227">
        <f>IF(AC2025!Z30="","",AC2025!Z30)</f>
        <v/>
      </c>
      <c r="M31" s="227">
        <f>IF(AC2025!AA30="","",AC2025!AA30)</f>
        <v/>
      </c>
      <c r="N31" s="227">
        <f>IF(AC2025!AD30="","",AC2025!AD30)</f>
        <v/>
      </c>
      <c r="O31" s="227">
        <f>IF(AC2025!AE30="","",AC2025!AE30)</f>
        <v/>
      </c>
      <c r="P31" s="227">
        <f>IF(AC2025!AF30="","",AC2025!AF30)</f>
        <v/>
      </c>
      <c r="Q31" s="226">
        <f>IF(AC2025!AI30="","",AC2025!AI30)</f>
        <v/>
      </c>
      <c r="R31" s="227">
        <f>IF(AC2025!AM30="","",AC2025!AM30)</f>
        <v/>
      </c>
      <c r="S31" s="226">
        <f>IF(AC2025!AP30="","",AC2025!AP30)</f>
        <v/>
      </c>
      <c r="T31" s="227">
        <f>IF(AC2025!AT30="","",AC2025!AT30)</f>
        <v/>
      </c>
    </row>
    <row r="32">
      <c r="B32" s="226">
        <f>IF(AC2025!B31="","",AC2025!B31)</f>
        <v/>
      </c>
      <c r="C32" s="226">
        <f>IF(AC2025!E31="","",AC2025!E31)</f>
        <v/>
      </c>
      <c r="D32" s="227">
        <f>IF(AC2025!H31="","",AC2025!H31)</f>
        <v/>
      </c>
      <c r="E32" s="227">
        <f>IF(AC2025!K31="","",AC2025!K31)</f>
        <v/>
      </c>
      <c r="F32" s="227">
        <f>IF(AC2025!L31="","",AC2025!L31)</f>
        <v/>
      </c>
      <c r="G32" s="227">
        <f>IF(AC2025!P31="","",AC2025!P31)</f>
        <v/>
      </c>
      <c r="H32" s="227">
        <f>IF(AC2025!O31="","",AC2025!O31)</f>
        <v/>
      </c>
      <c r="I32" s="227">
        <f>IF(AC2025!U31="","",AC2025!U31)</f>
        <v/>
      </c>
      <c r="J32" s="227">
        <f>IF(AC2025!X31="","",AC2025!X31)</f>
        <v/>
      </c>
      <c r="K32" s="227">
        <f>IF(AC2025!Y31="","",AC2025!Y31)</f>
        <v/>
      </c>
      <c r="L32" s="227">
        <f>IF(AC2025!Z31="","",AC2025!Z31)</f>
        <v/>
      </c>
      <c r="M32" s="227">
        <f>IF(AC2025!AA31="","",AC2025!AA31)</f>
        <v/>
      </c>
      <c r="N32" s="227">
        <f>IF(AC2025!AD31="","",AC2025!AD31)</f>
        <v/>
      </c>
      <c r="O32" s="227">
        <f>IF(AC2025!AE31="","",AC2025!AE31)</f>
        <v/>
      </c>
      <c r="P32" s="227">
        <f>IF(AC2025!AF31="","",AC2025!AF31)</f>
        <v/>
      </c>
      <c r="Q32" s="226">
        <f>IF(AC2025!AI31="","",AC2025!AI31)</f>
        <v/>
      </c>
      <c r="R32" s="227">
        <f>IF(AC2025!AM31="","",AC2025!AM31)</f>
        <v/>
      </c>
      <c r="S32" s="226">
        <f>IF(AC2025!AP31="","",AC2025!AP31)</f>
        <v/>
      </c>
      <c r="T32" s="227">
        <f>IF(AC2025!AT31="","",AC2025!AT31)</f>
        <v/>
      </c>
    </row>
    <row r="33">
      <c r="B33" s="226">
        <f>IF(AC2025!B32="","",AC2025!B32)</f>
        <v/>
      </c>
      <c r="C33" s="226">
        <f>IF(AC2025!E32="","",AC2025!E32)</f>
        <v/>
      </c>
      <c r="D33" s="227">
        <f>IF(AC2025!H32="","",AC2025!H32)</f>
        <v/>
      </c>
      <c r="E33" s="227">
        <f>IF(AC2025!K32="","",AC2025!K32)</f>
        <v/>
      </c>
      <c r="F33" s="227">
        <f>IF(AC2025!L32="","",AC2025!L32)</f>
        <v/>
      </c>
      <c r="G33" s="227">
        <f>IF(AC2025!P32="","",AC2025!P32)</f>
        <v/>
      </c>
      <c r="H33" s="227">
        <f>IF(AC2025!O32="","",AC2025!O32)</f>
        <v/>
      </c>
      <c r="I33" s="227">
        <f>IF(AC2025!U32="","",AC2025!U32)</f>
        <v/>
      </c>
      <c r="J33" s="227">
        <f>IF(AC2025!X32="","",AC2025!X32)</f>
        <v/>
      </c>
      <c r="K33" s="227">
        <f>IF(AC2025!Y32="","",AC2025!Y32)</f>
        <v/>
      </c>
      <c r="L33" s="227">
        <f>IF(AC2025!Z32="","",AC2025!Z32)</f>
        <v/>
      </c>
      <c r="M33" s="227">
        <f>IF(AC2025!AA32="","",AC2025!AA32)</f>
        <v/>
      </c>
      <c r="N33" s="227">
        <f>IF(AC2025!AD32="","",AC2025!AD32)</f>
        <v/>
      </c>
      <c r="O33" s="227">
        <f>IF(AC2025!AE32="","",AC2025!AE32)</f>
        <v/>
      </c>
      <c r="P33" s="227">
        <f>IF(AC2025!AF32="","",AC2025!AF32)</f>
        <v/>
      </c>
      <c r="Q33" s="226">
        <f>IF(AC2025!AI32="","",AC2025!AI32)</f>
        <v/>
      </c>
      <c r="R33" s="227">
        <f>IF(AC2025!AM32="","",AC2025!AM32)</f>
        <v/>
      </c>
      <c r="S33" s="226">
        <f>IF(AC2025!AP32="","",AC2025!AP32)</f>
        <v/>
      </c>
      <c r="T33" s="227">
        <f>IF(AC2025!AT32="","",AC2025!AT32)</f>
        <v/>
      </c>
    </row>
    <row r="34">
      <c r="B34" s="226">
        <f>IF(AC2025!B33="","",AC2025!B33)</f>
        <v/>
      </c>
      <c r="C34" s="226">
        <f>IF(AC2025!E33="","",AC2025!E33)</f>
        <v/>
      </c>
      <c r="D34" s="227">
        <f>IF(AC2025!H33="","",AC2025!H33)</f>
        <v/>
      </c>
      <c r="E34" s="227">
        <f>IF(AC2025!K33="","",AC2025!K33)</f>
        <v/>
      </c>
      <c r="F34" s="227">
        <f>IF(AC2025!L33="","",AC2025!L33)</f>
        <v/>
      </c>
      <c r="G34" s="227">
        <f>IF(AC2025!P33="","",AC2025!P33)</f>
        <v/>
      </c>
      <c r="H34" s="227">
        <f>IF(AC2025!O33="","",AC2025!O33)</f>
        <v/>
      </c>
      <c r="I34" s="227">
        <f>IF(AC2025!U33="","",AC2025!U33)</f>
        <v/>
      </c>
      <c r="J34" s="227">
        <f>IF(AC2025!X33="","",AC2025!X33)</f>
        <v/>
      </c>
      <c r="K34" s="227">
        <f>IF(AC2025!Y33="","",AC2025!Y33)</f>
        <v/>
      </c>
      <c r="L34" s="227">
        <f>IF(AC2025!Z33="","",AC2025!Z33)</f>
        <v/>
      </c>
      <c r="M34" s="227">
        <f>IF(AC2025!AA33="","",AC2025!AA33)</f>
        <v/>
      </c>
      <c r="N34" s="227">
        <f>IF(AC2025!AD33="","",AC2025!AD33)</f>
        <v/>
      </c>
      <c r="O34" s="227">
        <f>IF(AC2025!AE33="","",AC2025!AE33)</f>
        <v/>
      </c>
      <c r="P34" s="227">
        <f>IF(AC2025!AF33="","",AC2025!AF33)</f>
        <v/>
      </c>
      <c r="Q34" s="226">
        <f>IF(AC2025!AI33="","",AC2025!AI33)</f>
        <v/>
      </c>
      <c r="R34" s="227">
        <f>IF(AC2025!AM33="","",AC2025!AM33)</f>
        <v/>
      </c>
      <c r="S34" s="226">
        <f>IF(AC2025!AP33="","",AC2025!AP33)</f>
        <v/>
      </c>
      <c r="T34" s="227">
        <f>IF(AC2025!AT33="","",AC2025!AT33)</f>
        <v/>
      </c>
    </row>
    <row r="35">
      <c r="B35" s="226">
        <f>IF(AC2025!B34="","",AC2025!B34)</f>
        <v/>
      </c>
      <c r="C35" s="226">
        <f>IF(AC2025!E34="","",AC2025!E34)</f>
        <v/>
      </c>
      <c r="D35" s="227">
        <f>IF(AC2025!H34="","",AC2025!H34)</f>
        <v/>
      </c>
      <c r="E35" s="227">
        <f>IF(AC2025!K34="","",AC2025!K34)</f>
        <v/>
      </c>
      <c r="F35" s="227">
        <f>IF(AC2025!L34="","",AC2025!L34)</f>
        <v/>
      </c>
      <c r="G35" s="227">
        <f>IF(AC2025!P34="","",AC2025!P34)</f>
        <v/>
      </c>
      <c r="H35" s="227">
        <f>IF(AC2025!O34="","",AC2025!O34)</f>
        <v/>
      </c>
      <c r="I35" s="227">
        <f>IF(AC2025!U34="","",AC2025!U34)</f>
        <v/>
      </c>
      <c r="J35" s="227">
        <f>IF(AC2025!X34="","",AC2025!X34)</f>
        <v/>
      </c>
      <c r="K35" s="227">
        <f>IF(AC2025!Y34="","",AC2025!Y34)</f>
        <v/>
      </c>
      <c r="L35" s="227">
        <f>IF(AC2025!Z34="","",AC2025!Z34)</f>
        <v/>
      </c>
      <c r="M35" s="227">
        <f>IF(AC2025!AA34="","",AC2025!AA34)</f>
        <v/>
      </c>
      <c r="N35" s="227">
        <f>IF(AC2025!AD34="","",AC2025!AD34)</f>
        <v/>
      </c>
      <c r="O35" s="227">
        <f>IF(AC2025!AE34="","",AC2025!AE34)</f>
        <v/>
      </c>
      <c r="P35" s="227">
        <f>IF(AC2025!AF34="","",AC2025!AF34)</f>
        <v/>
      </c>
      <c r="Q35" s="226">
        <f>IF(AC2025!AI34="","",AC2025!AI34)</f>
        <v/>
      </c>
      <c r="R35" s="227">
        <f>IF(AC2025!AM34="","",AC2025!AM34)</f>
        <v/>
      </c>
      <c r="S35" s="226">
        <f>IF(AC2025!AP34="","",AC2025!AP34)</f>
        <v/>
      </c>
      <c r="T35" s="227">
        <f>IF(AC2025!AT34="","",AC2025!AT34)</f>
        <v/>
      </c>
    </row>
    <row r="36">
      <c r="B36" s="226">
        <f>IF(AC2025!B35="","",AC2025!B35)</f>
        <v/>
      </c>
      <c r="C36" s="226">
        <f>IF(AC2025!E35="","",AC2025!E35)</f>
        <v/>
      </c>
      <c r="D36" s="227">
        <f>IF(AC2025!H35="","",AC2025!H35)</f>
        <v/>
      </c>
      <c r="E36" s="227">
        <f>IF(AC2025!K35="","",AC2025!K35)</f>
        <v/>
      </c>
      <c r="F36" s="227">
        <f>IF(AC2025!L35="","",AC2025!L35)</f>
        <v/>
      </c>
      <c r="G36" s="227">
        <f>IF(AC2025!P35="","",AC2025!P35)</f>
        <v/>
      </c>
      <c r="H36" s="227">
        <f>IF(AC2025!O35="","",AC2025!O35)</f>
        <v/>
      </c>
      <c r="I36" s="227">
        <f>IF(AC2025!U35="","",AC2025!U35)</f>
        <v/>
      </c>
      <c r="J36" s="227">
        <f>IF(AC2025!X35="","",AC2025!X35)</f>
        <v/>
      </c>
      <c r="K36" s="227">
        <f>IF(AC2025!Y35="","",AC2025!Y35)</f>
        <v/>
      </c>
      <c r="L36" s="227">
        <f>IF(AC2025!Z35="","",AC2025!Z35)</f>
        <v/>
      </c>
      <c r="M36" s="227">
        <f>IF(AC2025!AA35="","",AC2025!AA35)</f>
        <v/>
      </c>
      <c r="N36" s="227">
        <f>IF(AC2025!AD35="","",AC2025!AD35)</f>
        <v/>
      </c>
      <c r="O36" s="227">
        <f>IF(AC2025!AE35="","",AC2025!AE35)</f>
        <v/>
      </c>
      <c r="P36" s="227">
        <f>IF(AC2025!AF35="","",AC2025!AF35)</f>
        <v/>
      </c>
      <c r="Q36" s="226">
        <f>IF(AC2025!AI35="","",AC2025!AI35)</f>
        <v/>
      </c>
      <c r="R36" s="227">
        <f>IF(AC2025!AM35="","",AC2025!AM35)</f>
        <v/>
      </c>
      <c r="S36" s="226">
        <f>IF(AC2025!AP35="","",AC2025!AP35)</f>
        <v/>
      </c>
      <c r="T36" s="227">
        <f>IF(AC2025!AT35="","",AC2025!AT35)</f>
        <v/>
      </c>
    </row>
    <row r="37">
      <c r="B37" s="226">
        <f>IF(AC2025!B36="","",AC2025!B36)</f>
        <v/>
      </c>
      <c r="C37" s="226">
        <f>IF(AC2025!E36="","",AC2025!E36)</f>
        <v/>
      </c>
      <c r="D37" s="227">
        <f>IF(AC2025!H36="","",AC2025!H36)</f>
        <v/>
      </c>
      <c r="E37" s="227">
        <f>IF(AC2025!K36="","",AC2025!K36)</f>
        <v/>
      </c>
      <c r="F37" s="227">
        <f>IF(AC2025!L36="","",AC2025!L36)</f>
        <v/>
      </c>
      <c r="G37" s="227">
        <f>IF(AC2025!P36="","",AC2025!P36)</f>
        <v/>
      </c>
      <c r="H37" s="227">
        <f>IF(AC2025!O36="","",AC2025!O36)</f>
        <v/>
      </c>
      <c r="I37" s="227">
        <f>IF(AC2025!U36="","",AC2025!U36)</f>
        <v/>
      </c>
      <c r="J37" s="227">
        <f>IF(AC2025!X36="","",AC2025!X36)</f>
        <v/>
      </c>
      <c r="K37" s="227">
        <f>IF(AC2025!Y36="","",AC2025!Y36)</f>
        <v/>
      </c>
      <c r="L37" s="227">
        <f>IF(AC2025!Z36="","",AC2025!Z36)</f>
        <v/>
      </c>
      <c r="M37" s="227">
        <f>IF(AC2025!AA36="","",AC2025!AA36)</f>
        <v/>
      </c>
      <c r="N37" s="227">
        <f>IF(AC2025!AD36="","",AC2025!AD36)</f>
        <v/>
      </c>
      <c r="O37" s="227">
        <f>IF(AC2025!AE36="","",AC2025!AE36)</f>
        <v/>
      </c>
      <c r="P37" s="227">
        <f>IF(AC2025!AF36="","",AC2025!AF36)</f>
        <v/>
      </c>
      <c r="Q37" s="226">
        <f>IF(AC2025!AI36="","",AC2025!AI36)</f>
        <v/>
      </c>
      <c r="R37" s="227">
        <f>IF(AC2025!AM36="","",AC2025!AM36)</f>
        <v/>
      </c>
      <c r="S37" s="226">
        <f>IF(AC2025!AP36="","",AC2025!AP36)</f>
        <v/>
      </c>
      <c r="T37" s="227">
        <f>IF(AC2025!AT36="","",AC2025!AT36)</f>
        <v/>
      </c>
    </row>
    <row r="38">
      <c r="B38" s="226">
        <f>IF(AC2025!B37="","",AC2025!B37)</f>
        <v/>
      </c>
      <c r="C38" s="226">
        <f>IF(AC2025!E37="","",AC2025!E37)</f>
        <v/>
      </c>
      <c r="D38" s="227">
        <f>IF(AC2025!H37="","",AC2025!H37)</f>
        <v/>
      </c>
      <c r="E38" s="227">
        <f>IF(AC2025!K37="","",AC2025!K37)</f>
        <v/>
      </c>
      <c r="F38" s="227">
        <f>IF(AC2025!L37="","",AC2025!L37)</f>
        <v/>
      </c>
      <c r="G38" s="227">
        <f>IF(AC2025!P37="","",AC2025!P37)</f>
        <v/>
      </c>
      <c r="H38" s="227">
        <f>IF(AC2025!O37="","",AC2025!O37)</f>
        <v/>
      </c>
      <c r="I38" s="227">
        <f>IF(AC2025!U37="","",AC2025!U37)</f>
        <v/>
      </c>
      <c r="J38" s="227">
        <f>IF(AC2025!X37="","",AC2025!X37)</f>
        <v/>
      </c>
      <c r="K38" s="227">
        <f>IF(AC2025!Y37="","",AC2025!Y37)</f>
        <v/>
      </c>
      <c r="L38" s="227">
        <f>IF(AC2025!Z37="","",AC2025!Z37)</f>
        <v/>
      </c>
      <c r="M38" s="227">
        <f>IF(AC2025!AA37="","",AC2025!AA37)</f>
        <v/>
      </c>
      <c r="N38" s="227">
        <f>IF(AC2025!AD37="","",AC2025!AD37)</f>
        <v/>
      </c>
      <c r="O38" s="227">
        <f>IF(AC2025!AE37="","",AC2025!AE37)</f>
        <v/>
      </c>
      <c r="P38" s="227">
        <f>IF(AC2025!AF37="","",AC2025!AF37)</f>
        <v/>
      </c>
      <c r="Q38" s="226">
        <f>IF(AC2025!AI37="","",AC2025!AI37)</f>
        <v/>
      </c>
      <c r="R38" s="227">
        <f>IF(AC2025!AM37="","",AC2025!AM37)</f>
        <v/>
      </c>
      <c r="S38" s="226">
        <f>IF(AC2025!AP37="","",AC2025!AP37)</f>
        <v/>
      </c>
      <c r="T38" s="227">
        <f>IF(AC2025!AT37="","",AC2025!AT37)</f>
        <v/>
      </c>
    </row>
    <row r="39">
      <c r="B39" s="226">
        <f>IF(AC2025!B38="","",AC2025!B38)</f>
        <v/>
      </c>
      <c r="C39" s="226">
        <f>IF(AC2025!E38="","",AC2025!E38)</f>
        <v/>
      </c>
      <c r="D39" s="227">
        <f>IF(AC2025!H38="","",AC2025!H38)</f>
        <v/>
      </c>
      <c r="E39" s="227">
        <f>IF(AC2025!K38="","",AC2025!K38)</f>
        <v/>
      </c>
      <c r="F39" s="227">
        <f>IF(AC2025!L38="","",AC2025!L38)</f>
        <v/>
      </c>
      <c r="G39" s="227">
        <f>IF(AC2025!P38="","",AC2025!P38)</f>
        <v/>
      </c>
      <c r="H39" s="227">
        <f>IF(AC2025!O38="","",AC2025!O38)</f>
        <v/>
      </c>
      <c r="I39" s="227">
        <f>IF(AC2025!U38="","",AC2025!U38)</f>
        <v/>
      </c>
      <c r="J39" s="227">
        <f>IF(AC2025!X38="","",AC2025!X38)</f>
        <v/>
      </c>
      <c r="K39" s="227">
        <f>IF(AC2025!Y38="","",AC2025!Y38)</f>
        <v/>
      </c>
      <c r="L39" s="227">
        <f>IF(AC2025!Z38="","",AC2025!Z38)</f>
        <v/>
      </c>
      <c r="M39" s="227">
        <f>IF(AC2025!AA38="","",AC2025!AA38)</f>
        <v/>
      </c>
      <c r="N39" s="227">
        <f>IF(AC2025!AD38="","",AC2025!AD38)</f>
        <v/>
      </c>
      <c r="O39" s="227">
        <f>IF(AC2025!AE38="","",AC2025!AE38)</f>
        <v/>
      </c>
      <c r="P39" s="227">
        <f>IF(AC2025!AF38="","",AC2025!AF38)</f>
        <v/>
      </c>
      <c r="Q39" s="226">
        <f>IF(AC2025!AI38="","",AC2025!AI38)</f>
        <v/>
      </c>
      <c r="R39" s="227">
        <f>IF(AC2025!AM38="","",AC2025!AM38)</f>
        <v/>
      </c>
      <c r="S39" s="226">
        <f>IF(AC2025!AP38="","",AC2025!AP38)</f>
        <v/>
      </c>
      <c r="T39" s="227">
        <f>IF(AC2025!AT38="","",AC2025!AT38)</f>
        <v/>
      </c>
    </row>
    <row r="40">
      <c r="B40" s="226">
        <f>IF(AC2025!B39="","",AC2025!B39)</f>
        <v/>
      </c>
      <c r="C40" s="226">
        <f>IF(AC2025!E39="","",AC2025!E39)</f>
        <v/>
      </c>
      <c r="D40" s="227">
        <f>IF(AC2025!H39="","",AC2025!H39)</f>
        <v/>
      </c>
      <c r="E40" s="227">
        <f>IF(AC2025!K39="","",AC2025!K39)</f>
        <v/>
      </c>
      <c r="F40" s="227">
        <f>IF(AC2025!L39="","",AC2025!L39)</f>
        <v/>
      </c>
      <c r="G40" s="227">
        <f>IF(AC2025!P39="","",AC2025!P39)</f>
        <v/>
      </c>
      <c r="H40" s="227">
        <f>IF(AC2025!O39="","",AC2025!O39)</f>
        <v/>
      </c>
      <c r="I40" s="227">
        <f>IF(AC2025!U39="","",AC2025!U39)</f>
        <v/>
      </c>
      <c r="J40" s="227">
        <f>IF(AC2025!X39="","",AC2025!X39)</f>
        <v/>
      </c>
      <c r="K40" s="227">
        <f>IF(AC2025!Y39="","",AC2025!Y39)</f>
        <v/>
      </c>
      <c r="L40" s="227">
        <f>IF(AC2025!Z39="","",AC2025!Z39)</f>
        <v/>
      </c>
      <c r="M40" s="227">
        <f>IF(AC2025!AA39="","",AC2025!AA39)</f>
        <v/>
      </c>
      <c r="N40" s="227">
        <f>IF(AC2025!AD39="","",AC2025!AD39)</f>
        <v/>
      </c>
      <c r="O40" s="227">
        <f>IF(AC2025!AE39="","",AC2025!AE39)</f>
        <v/>
      </c>
      <c r="P40" s="227">
        <f>IF(AC2025!AF39="","",AC2025!AF39)</f>
        <v/>
      </c>
      <c r="Q40" s="226">
        <f>IF(AC2025!AI39="","",AC2025!AI39)</f>
        <v/>
      </c>
      <c r="R40" s="227">
        <f>IF(AC2025!AM39="","",AC2025!AM39)</f>
        <v/>
      </c>
      <c r="S40" s="226">
        <f>IF(AC2025!AP39="","",AC2025!AP39)</f>
        <v/>
      </c>
      <c r="T40" s="227">
        <f>IF(AC2025!AT39="","",AC2025!AT39)</f>
        <v/>
      </c>
    </row>
    <row r="41">
      <c r="B41" s="226">
        <f>IF(AC2025!B40="","",AC2025!B40)</f>
        <v/>
      </c>
      <c r="C41" s="226">
        <f>IF(AC2025!E40="","",AC2025!E40)</f>
        <v/>
      </c>
      <c r="D41" s="227">
        <f>IF(AC2025!H40="","",AC2025!H40)</f>
        <v/>
      </c>
      <c r="E41" s="227">
        <f>IF(AC2025!K40="","",AC2025!K40)</f>
        <v/>
      </c>
      <c r="F41" s="227">
        <f>IF(AC2025!L40="","",AC2025!L40)</f>
        <v/>
      </c>
      <c r="G41" s="227">
        <f>IF(AC2025!P40="","",AC2025!P40)</f>
        <v/>
      </c>
      <c r="H41" s="227">
        <f>IF(AC2025!O40="","",AC2025!O40)</f>
        <v/>
      </c>
      <c r="I41" s="227">
        <f>IF(AC2025!U40="","",AC2025!U40)</f>
        <v/>
      </c>
      <c r="J41" s="227">
        <f>IF(AC2025!X40="","",AC2025!X40)</f>
        <v/>
      </c>
      <c r="K41" s="227">
        <f>IF(AC2025!Y40="","",AC2025!Y40)</f>
        <v/>
      </c>
      <c r="L41" s="227">
        <f>IF(AC2025!Z40="","",AC2025!Z40)</f>
        <v/>
      </c>
      <c r="M41" s="227">
        <f>IF(AC2025!AA40="","",AC2025!AA40)</f>
        <v/>
      </c>
      <c r="N41" s="227">
        <f>IF(AC2025!AD40="","",AC2025!AD40)</f>
        <v/>
      </c>
      <c r="O41" s="227">
        <f>IF(AC2025!AE40="","",AC2025!AE40)</f>
        <v/>
      </c>
      <c r="P41" s="227">
        <f>IF(AC2025!AF40="","",AC2025!AF40)</f>
        <v/>
      </c>
      <c r="Q41" s="226">
        <f>IF(AC2025!AI40="","",AC2025!AI40)</f>
        <v/>
      </c>
      <c r="R41" s="227">
        <f>IF(AC2025!AM40="","",AC2025!AM40)</f>
        <v/>
      </c>
      <c r="S41" s="226">
        <f>IF(AC2025!AP40="","",AC2025!AP40)</f>
        <v/>
      </c>
      <c r="T41" s="227">
        <f>IF(AC2025!AT40="","",AC2025!AT40)</f>
        <v/>
      </c>
    </row>
    <row r="42">
      <c r="B42" s="226">
        <f>IF(AC2025!B41="","",AC2025!B41)</f>
        <v/>
      </c>
      <c r="C42" s="226">
        <f>IF(AC2025!E41="","",AC2025!E41)</f>
        <v/>
      </c>
      <c r="D42" s="227">
        <f>IF(AC2025!H41="","",AC2025!H41)</f>
        <v/>
      </c>
      <c r="E42" s="227">
        <f>IF(AC2025!K41="","",AC2025!K41)</f>
        <v/>
      </c>
      <c r="F42" s="227">
        <f>IF(AC2025!L41="","",AC2025!L41)</f>
        <v/>
      </c>
      <c r="G42" s="227">
        <f>IF(AC2025!P41="","",AC2025!P41)</f>
        <v/>
      </c>
      <c r="H42" s="227">
        <f>IF(AC2025!O41="","",AC2025!O41)</f>
        <v/>
      </c>
      <c r="I42" s="227">
        <f>IF(AC2025!U41="","",AC2025!U41)</f>
        <v/>
      </c>
      <c r="J42" s="227">
        <f>IF(AC2025!X41="","",AC2025!X41)</f>
        <v/>
      </c>
      <c r="K42" s="227">
        <f>IF(AC2025!Y41="","",AC2025!Y41)</f>
        <v/>
      </c>
      <c r="L42" s="227">
        <f>IF(AC2025!Z41="","",AC2025!Z41)</f>
        <v/>
      </c>
      <c r="M42" s="227">
        <f>IF(AC2025!AA41="","",AC2025!AA41)</f>
        <v/>
      </c>
      <c r="N42" s="227">
        <f>IF(AC2025!AD41="","",AC2025!AD41)</f>
        <v/>
      </c>
      <c r="O42" s="227">
        <f>IF(AC2025!AE41="","",AC2025!AE41)</f>
        <v/>
      </c>
      <c r="P42" s="227">
        <f>IF(AC2025!AF41="","",AC2025!AF41)</f>
        <v/>
      </c>
      <c r="Q42" s="226">
        <f>IF(AC2025!AI41="","",AC2025!AI41)</f>
        <v/>
      </c>
      <c r="R42" s="227">
        <f>IF(AC2025!AM41="","",AC2025!AM41)</f>
        <v/>
      </c>
      <c r="S42" s="226">
        <f>IF(AC2025!AP41="","",AC2025!AP41)</f>
        <v/>
      </c>
      <c r="T42" s="227">
        <f>IF(AC2025!AT41="","",AC2025!AT41)</f>
        <v/>
      </c>
    </row>
    <row r="43">
      <c r="B43" s="226">
        <f>IF(AC2025!B42="","",AC2025!B42)</f>
        <v/>
      </c>
      <c r="C43" s="226">
        <f>IF(AC2025!E42="","",AC2025!E42)</f>
        <v/>
      </c>
      <c r="D43" s="227">
        <f>IF(AC2025!H42="","",AC2025!H42)</f>
        <v/>
      </c>
      <c r="E43" s="227">
        <f>IF(AC2025!K42="","",AC2025!K42)</f>
        <v/>
      </c>
      <c r="F43" s="227">
        <f>IF(AC2025!L42="","",AC2025!L42)</f>
        <v/>
      </c>
      <c r="G43" s="227">
        <f>IF(AC2025!P42="","",AC2025!P42)</f>
        <v/>
      </c>
      <c r="H43" s="227">
        <f>IF(AC2025!O42="","",AC2025!O42)</f>
        <v/>
      </c>
      <c r="I43" s="227">
        <f>IF(AC2025!U42="","",AC2025!U42)</f>
        <v/>
      </c>
      <c r="J43" s="227">
        <f>IF(AC2025!X42="","",AC2025!X42)</f>
        <v/>
      </c>
      <c r="K43" s="227">
        <f>IF(AC2025!Y42="","",AC2025!Y42)</f>
        <v/>
      </c>
      <c r="L43" s="227">
        <f>IF(AC2025!Z42="","",AC2025!Z42)</f>
        <v/>
      </c>
      <c r="M43" s="227">
        <f>IF(AC2025!AA42="","",AC2025!AA42)</f>
        <v/>
      </c>
      <c r="N43" s="227">
        <f>IF(AC2025!AD42="","",AC2025!AD42)</f>
        <v/>
      </c>
      <c r="O43" s="227">
        <f>IF(AC2025!AE42="","",AC2025!AE42)</f>
        <v/>
      </c>
      <c r="P43" s="227">
        <f>IF(AC2025!AF42="","",AC2025!AF42)</f>
        <v/>
      </c>
      <c r="Q43" s="226">
        <f>IF(AC2025!AI42="","",AC2025!AI42)</f>
        <v/>
      </c>
      <c r="R43" s="227">
        <f>IF(AC2025!AM42="","",AC2025!AM42)</f>
        <v/>
      </c>
      <c r="S43" s="226">
        <f>IF(AC2025!AP42="","",AC2025!AP42)</f>
        <v/>
      </c>
      <c r="T43" s="227">
        <f>IF(AC2025!AT42="","",AC2025!AT42)</f>
        <v/>
      </c>
    </row>
    <row r="44">
      <c r="B44" s="226">
        <f>IF(AC2025!B43="","",AC2025!B43)</f>
        <v/>
      </c>
      <c r="C44" s="226">
        <f>IF(AC2025!E43="","",AC2025!E43)</f>
        <v/>
      </c>
      <c r="D44" s="227">
        <f>IF(AC2025!H43="","",AC2025!H43)</f>
        <v/>
      </c>
      <c r="E44" s="227">
        <f>IF(AC2025!K43="","",AC2025!K43)</f>
        <v/>
      </c>
      <c r="F44" s="227">
        <f>IF(AC2025!L43="","",AC2025!L43)</f>
        <v/>
      </c>
      <c r="G44" s="227">
        <f>IF(AC2025!P43="","",AC2025!P43)</f>
        <v/>
      </c>
      <c r="H44" s="227">
        <f>IF(AC2025!O43="","",AC2025!O43)</f>
        <v/>
      </c>
      <c r="I44" s="227">
        <f>IF(AC2025!U43="","",AC2025!U43)</f>
        <v/>
      </c>
      <c r="J44" s="227">
        <f>IF(AC2025!X43="","",AC2025!X43)</f>
        <v/>
      </c>
      <c r="K44" s="227">
        <f>IF(AC2025!Y43="","",AC2025!Y43)</f>
        <v/>
      </c>
      <c r="L44" s="227">
        <f>IF(AC2025!Z43="","",AC2025!Z43)</f>
        <v/>
      </c>
      <c r="M44" s="227">
        <f>IF(AC2025!AA43="","",AC2025!AA43)</f>
        <v/>
      </c>
      <c r="N44" s="227">
        <f>IF(AC2025!AD43="","",AC2025!AD43)</f>
        <v/>
      </c>
      <c r="O44" s="227">
        <f>IF(AC2025!AE43="","",AC2025!AE43)</f>
        <v/>
      </c>
      <c r="P44" s="227">
        <f>IF(AC2025!AF43="","",AC2025!AF43)</f>
        <v/>
      </c>
      <c r="Q44" s="226">
        <f>IF(AC2025!AI43="","",AC2025!AI43)</f>
        <v/>
      </c>
      <c r="R44" s="227">
        <f>IF(AC2025!AM43="","",AC2025!AM43)</f>
        <v/>
      </c>
      <c r="S44" s="226">
        <f>IF(AC2025!AP43="","",AC2025!AP43)</f>
        <v/>
      </c>
      <c r="T44" s="227">
        <f>IF(AC2025!AT43="","",AC2025!AT43)</f>
        <v/>
      </c>
    </row>
    <row r="45">
      <c r="B45" s="226">
        <f>IF(AC2025!B44="","",AC2025!B44)</f>
        <v/>
      </c>
      <c r="C45" s="226">
        <f>IF(AC2025!E44="","",AC2025!E44)</f>
        <v/>
      </c>
      <c r="D45" s="227">
        <f>IF(AC2025!H44="","",AC2025!H44)</f>
        <v/>
      </c>
      <c r="E45" s="227">
        <f>IF(AC2025!K44="","",AC2025!K44)</f>
        <v/>
      </c>
      <c r="F45" s="227">
        <f>IF(AC2025!L44="","",AC2025!L44)</f>
        <v/>
      </c>
      <c r="G45" s="227">
        <f>IF(AC2025!P44="","",AC2025!P44)</f>
        <v/>
      </c>
      <c r="H45" s="227">
        <f>IF(AC2025!O44="","",AC2025!O44)</f>
        <v/>
      </c>
      <c r="I45" s="227">
        <f>IF(AC2025!U44="","",AC2025!U44)</f>
        <v/>
      </c>
      <c r="J45" s="227">
        <f>IF(AC2025!X44="","",AC2025!X44)</f>
        <v/>
      </c>
      <c r="K45" s="227">
        <f>IF(AC2025!Y44="","",AC2025!Y44)</f>
        <v/>
      </c>
      <c r="L45" s="227">
        <f>IF(AC2025!Z44="","",AC2025!Z44)</f>
        <v/>
      </c>
      <c r="M45" s="227">
        <f>IF(AC2025!AA44="","",AC2025!AA44)</f>
        <v/>
      </c>
      <c r="N45" s="227">
        <f>IF(AC2025!AD44="","",AC2025!AD44)</f>
        <v/>
      </c>
      <c r="O45" s="227">
        <f>IF(AC2025!AE44="","",AC2025!AE44)</f>
        <v/>
      </c>
      <c r="P45" s="227">
        <f>IF(AC2025!AF44="","",AC2025!AF44)</f>
        <v/>
      </c>
      <c r="Q45" s="226">
        <f>IF(AC2025!AI44="","",AC2025!AI44)</f>
        <v/>
      </c>
      <c r="R45" s="227">
        <f>IF(AC2025!AM44="","",AC2025!AM44)</f>
        <v/>
      </c>
      <c r="S45" s="226">
        <f>IF(AC2025!AP44="","",AC2025!AP44)</f>
        <v/>
      </c>
      <c r="T45" s="227">
        <f>IF(AC2025!AT44="","",AC2025!AT44)</f>
        <v/>
      </c>
    </row>
    <row r="46">
      <c r="B46" s="226">
        <f>IF(AC2025!B45="","",AC2025!B45)</f>
        <v/>
      </c>
      <c r="C46" s="226">
        <f>IF(AC2025!E45="","",AC2025!E45)</f>
        <v/>
      </c>
      <c r="D46" s="227">
        <f>IF(AC2025!H45="","",AC2025!H45)</f>
        <v/>
      </c>
      <c r="E46" s="227">
        <f>IF(AC2025!K45="","",AC2025!K45)</f>
        <v/>
      </c>
      <c r="F46" s="227">
        <f>IF(AC2025!L45="","",AC2025!L45)</f>
        <v/>
      </c>
      <c r="G46" s="227">
        <f>IF(AC2025!P45="","",AC2025!P45)</f>
        <v/>
      </c>
      <c r="H46" s="227">
        <f>IF(AC2025!O45="","",AC2025!O45)</f>
        <v/>
      </c>
      <c r="I46" s="227">
        <f>IF(AC2025!U45="","",AC2025!U45)</f>
        <v/>
      </c>
      <c r="J46" s="227">
        <f>IF(AC2025!X45="","",AC2025!X45)</f>
        <v/>
      </c>
      <c r="K46" s="227">
        <f>IF(AC2025!Y45="","",AC2025!Y45)</f>
        <v/>
      </c>
      <c r="L46" s="227">
        <f>IF(AC2025!Z45="","",AC2025!Z45)</f>
        <v/>
      </c>
      <c r="M46" s="227">
        <f>IF(AC2025!AA45="","",AC2025!AA45)</f>
        <v/>
      </c>
      <c r="N46" s="227">
        <f>IF(AC2025!AD45="","",AC2025!AD45)</f>
        <v/>
      </c>
      <c r="O46" s="227">
        <f>IF(AC2025!AE45="","",AC2025!AE45)</f>
        <v/>
      </c>
      <c r="P46" s="227">
        <f>IF(AC2025!AF45="","",AC2025!AF45)</f>
        <v/>
      </c>
      <c r="Q46" s="226">
        <f>IF(AC2025!AI45="","",AC2025!AI45)</f>
        <v/>
      </c>
      <c r="R46" s="227">
        <f>IF(AC2025!AM45="","",AC2025!AM45)</f>
        <v/>
      </c>
      <c r="S46" s="226">
        <f>IF(AC2025!AP45="","",AC2025!AP45)</f>
        <v/>
      </c>
      <c r="T46" s="227">
        <f>IF(AC2025!AT45="","",AC2025!AT45)</f>
        <v/>
      </c>
    </row>
    <row r="47">
      <c r="B47" s="226">
        <f>IF(AC2025!B46="","",AC2025!B46)</f>
        <v/>
      </c>
      <c r="C47" s="226">
        <f>IF(AC2025!E46="","",AC2025!E46)</f>
        <v/>
      </c>
      <c r="D47" s="227">
        <f>IF(AC2025!H46="","",AC2025!H46)</f>
        <v/>
      </c>
      <c r="E47" s="227">
        <f>IF(AC2025!K46="","",AC2025!K46)</f>
        <v/>
      </c>
      <c r="F47" s="227">
        <f>IF(AC2025!L46="","",AC2025!L46)</f>
        <v/>
      </c>
      <c r="G47" s="227">
        <f>IF(AC2025!P46="","",AC2025!P46)</f>
        <v/>
      </c>
      <c r="H47" s="227">
        <f>IF(AC2025!O46="","",AC2025!O46)</f>
        <v/>
      </c>
      <c r="I47" s="227">
        <f>IF(AC2025!U46="","",AC2025!U46)</f>
        <v/>
      </c>
      <c r="J47" s="227">
        <f>IF(AC2025!X46="","",AC2025!X46)</f>
        <v/>
      </c>
      <c r="K47" s="227">
        <f>IF(AC2025!Y46="","",AC2025!Y46)</f>
        <v/>
      </c>
      <c r="L47" s="227">
        <f>IF(AC2025!Z46="","",AC2025!Z46)</f>
        <v/>
      </c>
      <c r="M47" s="227">
        <f>IF(AC2025!AA46="","",AC2025!AA46)</f>
        <v/>
      </c>
      <c r="N47" s="227">
        <f>IF(AC2025!AD46="","",AC2025!AD46)</f>
        <v/>
      </c>
      <c r="O47" s="227">
        <f>IF(AC2025!AE46="","",AC2025!AE46)</f>
        <v/>
      </c>
      <c r="P47" s="227">
        <f>IF(AC2025!AF46="","",AC2025!AF46)</f>
        <v/>
      </c>
      <c r="Q47" s="226">
        <f>IF(AC2025!AI46="","",AC2025!AI46)</f>
        <v/>
      </c>
      <c r="R47" s="227">
        <f>IF(AC2025!AM46="","",AC2025!AM46)</f>
        <v/>
      </c>
      <c r="S47" s="226">
        <f>IF(AC2025!AP46="","",AC2025!AP46)</f>
        <v/>
      </c>
      <c r="T47" s="227">
        <f>IF(AC2025!AT46="","",AC2025!AT46)</f>
        <v/>
      </c>
    </row>
    <row r="48">
      <c r="B48" s="226">
        <f>IF(AC2025!B47="","",AC2025!B47)</f>
        <v/>
      </c>
      <c r="C48" s="226">
        <f>IF(AC2025!E47="","",AC2025!E47)</f>
        <v/>
      </c>
      <c r="D48" s="227">
        <f>IF(AC2025!H47="","",AC2025!H47)</f>
        <v/>
      </c>
      <c r="E48" s="227">
        <f>IF(AC2025!K47="","",AC2025!K47)</f>
        <v/>
      </c>
      <c r="F48" s="227">
        <f>IF(AC2025!L47="","",AC2025!L47)</f>
        <v/>
      </c>
      <c r="G48" s="227">
        <f>IF(AC2025!P47="","",AC2025!P47)</f>
        <v/>
      </c>
      <c r="H48" s="227">
        <f>IF(AC2025!O47="","",AC2025!O47)</f>
        <v/>
      </c>
      <c r="I48" s="227">
        <f>IF(AC2025!U47="","",AC2025!U47)</f>
        <v/>
      </c>
      <c r="J48" s="227">
        <f>IF(AC2025!X47="","",AC2025!X47)</f>
        <v/>
      </c>
      <c r="K48" s="227">
        <f>IF(AC2025!Y47="","",AC2025!Y47)</f>
        <v/>
      </c>
      <c r="L48" s="227">
        <f>IF(AC2025!Z47="","",AC2025!Z47)</f>
        <v/>
      </c>
      <c r="M48" s="227">
        <f>IF(AC2025!AA47="","",AC2025!AA47)</f>
        <v/>
      </c>
      <c r="N48" s="227">
        <f>IF(AC2025!AD47="","",AC2025!AD47)</f>
        <v/>
      </c>
      <c r="O48" s="227">
        <f>IF(AC2025!AE47="","",AC2025!AE47)</f>
        <v/>
      </c>
      <c r="P48" s="227">
        <f>IF(AC2025!AF47="","",AC2025!AF47)</f>
        <v/>
      </c>
      <c r="Q48" s="226">
        <f>IF(AC2025!AI47="","",AC2025!AI47)</f>
        <v/>
      </c>
      <c r="R48" s="227">
        <f>IF(AC2025!AM47="","",AC2025!AM47)</f>
        <v/>
      </c>
      <c r="S48" s="226">
        <f>IF(AC2025!AP47="","",AC2025!AP47)</f>
        <v/>
      </c>
      <c r="T48" s="227">
        <f>IF(AC2025!AT47="","",AC2025!AT47)</f>
        <v/>
      </c>
    </row>
    <row r="49">
      <c r="B49" s="226">
        <f>IF(AC2025!B48="","",AC2025!B48)</f>
        <v/>
      </c>
      <c r="C49" s="226">
        <f>IF(AC2025!E48="","",AC2025!E48)</f>
        <v/>
      </c>
      <c r="D49" s="227">
        <f>IF(AC2025!H48="","",AC2025!H48)</f>
        <v/>
      </c>
      <c r="E49" s="227">
        <f>IF(AC2025!K48="","",AC2025!K48)</f>
        <v/>
      </c>
      <c r="F49" s="227">
        <f>IF(AC2025!L48="","",AC2025!L48)</f>
        <v/>
      </c>
      <c r="G49" s="227">
        <f>IF(AC2025!P48="","",AC2025!P48)</f>
        <v/>
      </c>
      <c r="H49" s="227">
        <f>IF(AC2025!O48="","",AC2025!O48)</f>
        <v/>
      </c>
      <c r="I49" s="227">
        <f>IF(AC2025!U48="","",AC2025!U48)</f>
        <v/>
      </c>
      <c r="J49" s="227">
        <f>IF(AC2025!X48="","",AC2025!X48)</f>
        <v/>
      </c>
      <c r="K49" s="227">
        <f>IF(AC2025!Y48="","",AC2025!Y48)</f>
        <v/>
      </c>
      <c r="L49" s="227">
        <f>IF(AC2025!Z48="","",AC2025!Z48)</f>
        <v/>
      </c>
      <c r="M49" s="227">
        <f>IF(AC2025!AA48="","",AC2025!AA48)</f>
        <v/>
      </c>
      <c r="N49" s="227">
        <f>IF(AC2025!AD48="","",AC2025!AD48)</f>
        <v/>
      </c>
      <c r="O49" s="227">
        <f>IF(AC2025!AE48="","",AC2025!AE48)</f>
        <v/>
      </c>
      <c r="P49" s="227">
        <f>IF(AC2025!AF48="","",AC2025!AF48)</f>
        <v/>
      </c>
      <c r="Q49" s="226">
        <f>IF(AC2025!AI48="","",AC2025!AI48)</f>
        <v/>
      </c>
      <c r="R49" s="227">
        <f>IF(AC2025!AM48="","",AC2025!AM48)</f>
        <v/>
      </c>
      <c r="S49" s="226">
        <f>IF(AC2025!AP48="","",AC2025!AP48)</f>
        <v/>
      </c>
      <c r="T49" s="227">
        <f>IF(AC2025!AT48="","",AC2025!AT48)</f>
        <v/>
      </c>
    </row>
    <row r="50">
      <c r="B50" s="226">
        <f>IF(AC2025!B49="","",AC2025!B49)</f>
        <v/>
      </c>
      <c r="C50" s="226">
        <f>IF(AC2025!E49="","",AC2025!E49)</f>
        <v/>
      </c>
      <c r="D50" s="227">
        <f>IF(AC2025!H49="","",AC2025!H49)</f>
        <v/>
      </c>
      <c r="E50" s="227">
        <f>IF(AC2025!K49="","",AC2025!K49)</f>
        <v/>
      </c>
      <c r="F50" s="227">
        <f>IF(AC2025!L49="","",AC2025!L49)</f>
        <v/>
      </c>
      <c r="G50" s="227">
        <f>IF(AC2025!P49="","",AC2025!P49)</f>
        <v/>
      </c>
      <c r="H50" s="227">
        <f>IF(AC2025!O49="","",AC2025!O49)</f>
        <v/>
      </c>
      <c r="I50" s="227">
        <f>IF(AC2025!U49="","",AC2025!U49)</f>
        <v/>
      </c>
      <c r="J50" s="227">
        <f>IF(AC2025!X49="","",AC2025!X49)</f>
        <v/>
      </c>
      <c r="K50" s="227">
        <f>IF(AC2025!Y49="","",AC2025!Y49)</f>
        <v/>
      </c>
      <c r="L50" s="227">
        <f>IF(AC2025!Z49="","",AC2025!Z49)</f>
        <v/>
      </c>
      <c r="M50" s="227">
        <f>IF(AC2025!AA49="","",AC2025!AA49)</f>
        <v/>
      </c>
      <c r="N50" s="227">
        <f>IF(AC2025!AD49="","",AC2025!AD49)</f>
        <v/>
      </c>
      <c r="O50" s="227">
        <f>IF(AC2025!AE49="","",AC2025!AE49)</f>
        <v/>
      </c>
      <c r="P50" s="227">
        <f>IF(AC2025!AF49="","",AC2025!AF49)</f>
        <v/>
      </c>
      <c r="Q50" s="226">
        <f>IF(AC2025!AI49="","",AC2025!AI49)</f>
        <v/>
      </c>
      <c r="R50" s="227">
        <f>IF(AC2025!AM49="","",AC2025!AM49)</f>
        <v/>
      </c>
      <c r="S50" s="226">
        <f>IF(AC2025!AP49="","",AC2025!AP49)</f>
        <v/>
      </c>
      <c r="T50" s="227">
        <f>IF(AC2025!AT49="","",AC2025!AT49)</f>
        <v/>
      </c>
    </row>
    <row r="51">
      <c r="B51" s="226">
        <f>IF(AC2025!B50="","",AC2025!B50)</f>
        <v/>
      </c>
      <c r="C51" s="226">
        <f>IF(AC2025!E50="","",AC2025!E50)</f>
        <v/>
      </c>
      <c r="D51" s="227">
        <f>IF(AC2025!H50="","",AC2025!H50)</f>
        <v/>
      </c>
      <c r="E51" s="227">
        <f>IF(AC2025!K50="","",AC2025!K50)</f>
        <v/>
      </c>
      <c r="F51" s="227">
        <f>IF(AC2025!L50="","",AC2025!L50)</f>
        <v/>
      </c>
      <c r="G51" s="227">
        <f>IF(AC2025!P50="","",AC2025!P50)</f>
        <v/>
      </c>
      <c r="H51" s="227">
        <f>IF(AC2025!O50="","",AC2025!O50)</f>
        <v/>
      </c>
      <c r="I51" s="227">
        <f>IF(AC2025!U50="","",AC2025!U50)</f>
        <v/>
      </c>
      <c r="J51" s="227">
        <f>IF(AC2025!X50="","",AC2025!X50)</f>
        <v/>
      </c>
      <c r="K51" s="227">
        <f>IF(AC2025!Y50="","",AC2025!Y50)</f>
        <v/>
      </c>
      <c r="L51" s="227">
        <f>IF(AC2025!Z50="","",AC2025!Z50)</f>
        <v/>
      </c>
      <c r="M51" s="227">
        <f>IF(AC2025!AA50="","",AC2025!AA50)</f>
        <v/>
      </c>
      <c r="N51" s="227">
        <f>IF(AC2025!AD50="","",AC2025!AD50)</f>
        <v/>
      </c>
      <c r="O51" s="227">
        <f>IF(AC2025!AE50="","",AC2025!AE50)</f>
        <v/>
      </c>
      <c r="P51" s="227">
        <f>IF(AC2025!AF50="","",AC2025!AF50)</f>
        <v/>
      </c>
      <c r="Q51" s="226">
        <f>IF(AC2025!AI50="","",AC2025!AI50)</f>
        <v/>
      </c>
      <c r="R51" s="227">
        <f>IF(AC2025!AM50="","",AC2025!AM50)</f>
        <v/>
      </c>
      <c r="S51" s="226">
        <f>IF(AC2025!AP50="","",AC2025!AP50)</f>
        <v/>
      </c>
      <c r="T51" s="227">
        <f>IF(AC2025!AT50="","",AC2025!AT50)</f>
        <v/>
      </c>
    </row>
    <row r="52">
      <c r="B52" s="226">
        <f>IF(AC2025!B51="","",AC2025!B51)</f>
        <v/>
      </c>
      <c r="C52" s="226">
        <f>IF(AC2025!E51="","",AC2025!E51)</f>
        <v/>
      </c>
      <c r="D52" s="227">
        <f>IF(AC2025!H51="","",AC2025!H51)</f>
        <v/>
      </c>
      <c r="E52" s="227">
        <f>IF(AC2025!K51="","",AC2025!K51)</f>
        <v/>
      </c>
      <c r="F52" s="227">
        <f>IF(AC2025!L51="","",AC2025!L51)</f>
        <v/>
      </c>
      <c r="G52" s="227">
        <f>IF(AC2025!P51="","",AC2025!P51)</f>
        <v/>
      </c>
      <c r="H52" s="227">
        <f>IF(AC2025!O51="","",AC2025!O51)</f>
        <v/>
      </c>
      <c r="I52" s="227">
        <f>IF(AC2025!U51="","",AC2025!U51)</f>
        <v/>
      </c>
      <c r="J52" s="227">
        <f>IF(AC2025!X51="","",AC2025!X51)</f>
        <v/>
      </c>
      <c r="K52" s="227">
        <f>IF(AC2025!Y51="","",AC2025!Y51)</f>
        <v/>
      </c>
      <c r="L52" s="227">
        <f>IF(AC2025!Z51="","",AC2025!Z51)</f>
        <v/>
      </c>
      <c r="M52" s="227">
        <f>IF(AC2025!AA51="","",AC2025!AA51)</f>
        <v/>
      </c>
      <c r="N52" s="227">
        <f>IF(AC2025!AD51="","",AC2025!AD51)</f>
        <v/>
      </c>
      <c r="O52" s="227">
        <f>IF(AC2025!AE51="","",AC2025!AE51)</f>
        <v/>
      </c>
      <c r="P52" s="227">
        <f>IF(AC2025!AF51="","",AC2025!AF51)</f>
        <v/>
      </c>
      <c r="Q52" s="226">
        <f>IF(AC2025!AI51="","",AC2025!AI51)</f>
        <v/>
      </c>
      <c r="R52" s="227">
        <f>IF(AC2025!AM51="","",AC2025!AM51)</f>
        <v/>
      </c>
      <c r="S52" s="226">
        <f>IF(AC2025!AP51="","",AC2025!AP51)</f>
        <v/>
      </c>
      <c r="T52" s="227">
        <f>IF(AC2025!AT51="","",AC2025!AT51)</f>
        <v/>
      </c>
    </row>
    <row r="53">
      <c r="B53" s="226">
        <f>IF(AC2025!B52="","",AC2025!B52)</f>
        <v/>
      </c>
      <c r="C53" s="226">
        <f>IF(AC2025!E52="","",AC2025!E52)</f>
        <v/>
      </c>
      <c r="D53" s="227">
        <f>IF(AC2025!H52="","",AC2025!H52)</f>
        <v/>
      </c>
      <c r="E53" s="227">
        <f>IF(AC2025!K52="","",AC2025!K52)</f>
        <v/>
      </c>
      <c r="F53" s="227">
        <f>IF(AC2025!L52="","",AC2025!L52)</f>
        <v/>
      </c>
      <c r="G53" s="227">
        <f>IF(AC2025!P52="","",AC2025!P52)</f>
        <v/>
      </c>
      <c r="H53" s="227">
        <f>IF(AC2025!O52="","",AC2025!O52)</f>
        <v/>
      </c>
      <c r="I53" s="227">
        <f>IF(AC2025!U52="","",AC2025!U52)</f>
        <v/>
      </c>
      <c r="J53" s="227">
        <f>IF(AC2025!X52="","",AC2025!X52)</f>
        <v/>
      </c>
      <c r="K53" s="227">
        <f>IF(AC2025!Y52="","",AC2025!Y52)</f>
        <v/>
      </c>
      <c r="L53" s="227">
        <f>IF(AC2025!Z52="","",AC2025!Z52)</f>
        <v/>
      </c>
      <c r="M53" s="227">
        <f>IF(AC2025!AA52="","",AC2025!AA52)</f>
        <v/>
      </c>
      <c r="N53" s="227">
        <f>IF(AC2025!AD52="","",AC2025!AD52)</f>
        <v/>
      </c>
      <c r="O53" s="227">
        <f>IF(AC2025!AE52="","",AC2025!AE52)</f>
        <v/>
      </c>
      <c r="P53" s="227">
        <f>IF(AC2025!AF52="","",AC2025!AF52)</f>
        <v/>
      </c>
      <c r="Q53" s="226">
        <f>IF(AC2025!AI52="","",AC2025!AI52)</f>
        <v/>
      </c>
      <c r="R53" s="227">
        <f>IF(AC2025!AM52="","",AC2025!AM52)</f>
        <v/>
      </c>
      <c r="S53" s="226">
        <f>IF(AC2025!AP52="","",AC2025!AP52)</f>
        <v/>
      </c>
      <c r="T53" s="227">
        <f>IF(AC2025!AT52="","",AC2025!AT52)</f>
        <v/>
      </c>
    </row>
    <row r="54">
      <c r="B54" s="226">
        <f>IF(AC2025!B53="","",AC2025!B53)</f>
        <v/>
      </c>
      <c r="C54" s="226">
        <f>IF(AC2025!E53="","",AC2025!E53)</f>
        <v/>
      </c>
      <c r="D54" s="227">
        <f>IF(AC2025!H53="","",AC2025!H53)</f>
        <v/>
      </c>
      <c r="E54" s="227">
        <f>IF(AC2025!K53="","",AC2025!K53)</f>
        <v/>
      </c>
      <c r="F54" s="227">
        <f>IF(AC2025!L53="","",AC2025!L53)</f>
        <v/>
      </c>
      <c r="G54" s="227">
        <f>IF(AC2025!P53="","",AC2025!P53)</f>
        <v/>
      </c>
      <c r="H54" s="227">
        <f>IF(AC2025!O53="","",AC2025!O53)</f>
        <v/>
      </c>
      <c r="I54" s="227">
        <f>IF(AC2025!U53="","",AC2025!U53)</f>
        <v/>
      </c>
      <c r="J54" s="227">
        <f>IF(AC2025!X53="","",AC2025!X53)</f>
        <v/>
      </c>
      <c r="K54" s="227">
        <f>IF(AC2025!Y53="","",AC2025!Y53)</f>
        <v/>
      </c>
      <c r="L54" s="227">
        <f>IF(AC2025!Z53="","",AC2025!Z53)</f>
        <v/>
      </c>
      <c r="M54" s="227">
        <f>IF(AC2025!AA53="","",AC2025!AA53)</f>
        <v/>
      </c>
      <c r="N54" s="227">
        <f>IF(AC2025!AD53="","",AC2025!AD53)</f>
        <v/>
      </c>
      <c r="O54" s="227">
        <f>IF(AC2025!AE53="","",AC2025!AE53)</f>
        <v/>
      </c>
      <c r="P54" s="227">
        <f>IF(AC2025!AF53="","",AC2025!AF53)</f>
        <v/>
      </c>
      <c r="Q54" s="226">
        <f>IF(AC2025!AI53="","",AC2025!AI53)</f>
        <v/>
      </c>
      <c r="R54" s="227">
        <f>IF(AC2025!AM53="","",AC2025!AM53)</f>
        <v/>
      </c>
      <c r="S54" s="226">
        <f>IF(AC2025!AP53="","",AC2025!AP53)</f>
        <v/>
      </c>
      <c r="T54" s="227">
        <f>IF(AC2025!AT53="","",AC2025!AT53)</f>
        <v/>
      </c>
    </row>
    <row r="55">
      <c r="B55" s="226">
        <f>IF(AC2025!B54="","",AC2025!B54)</f>
        <v/>
      </c>
      <c r="C55" s="226">
        <f>IF(AC2025!E54="","",AC2025!E54)</f>
        <v/>
      </c>
      <c r="D55" s="227">
        <f>IF(AC2025!H54="","",AC2025!H54)</f>
        <v/>
      </c>
      <c r="E55" s="227">
        <f>IF(AC2025!K54="","",AC2025!K54)</f>
        <v/>
      </c>
      <c r="F55" s="227">
        <f>IF(AC2025!L54="","",AC2025!L54)</f>
        <v/>
      </c>
      <c r="G55" s="227">
        <f>IF(AC2025!P54="","",AC2025!P54)</f>
        <v/>
      </c>
      <c r="H55" s="227">
        <f>IF(AC2025!O54="","",AC2025!O54)</f>
        <v/>
      </c>
      <c r="I55" s="227">
        <f>IF(AC2025!U54="","",AC2025!U54)</f>
        <v/>
      </c>
      <c r="J55" s="227">
        <f>IF(AC2025!X54="","",AC2025!X54)</f>
        <v/>
      </c>
      <c r="K55" s="227">
        <f>IF(AC2025!Y54="","",AC2025!Y54)</f>
        <v/>
      </c>
      <c r="L55" s="227">
        <f>IF(AC2025!Z54="","",AC2025!Z54)</f>
        <v/>
      </c>
      <c r="M55" s="227">
        <f>IF(AC2025!AA54="","",AC2025!AA54)</f>
        <v/>
      </c>
      <c r="N55" s="227">
        <f>IF(AC2025!AD54="","",AC2025!AD54)</f>
        <v/>
      </c>
      <c r="O55" s="227">
        <f>IF(AC2025!AE54="","",AC2025!AE54)</f>
        <v/>
      </c>
      <c r="P55" s="227">
        <f>IF(AC2025!AF54="","",AC2025!AF54)</f>
        <v/>
      </c>
      <c r="Q55" s="226">
        <f>IF(AC2025!AI54="","",AC2025!AI54)</f>
        <v/>
      </c>
      <c r="R55" s="227">
        <f>IF(AC2025!AM54="","",AC2025!AM54)</f>
        <v/>
      </c>
      <c r="S55" s="226">
        <f>IF(AC2025!AP54="","",AC2025!AP54)</f>
        <v/>
      </c>
      <c r="T55" s="227">
        <f>IF(AC2025!AT54="","",AC2025!AT54)</f>
        <v/>
      </c>
    </row>
    <row r="56">
      <c r="B56" s="226">
        <f>IF(AC2025!B55="","",AC2025!B55)</f>
        <v/>
      </c>
      <c r="C56" s="226">
        <f>IF(AC2025!E55="","",AC2025!E55)</f>
        <v/>
      </c>
      <c r="D56" s="227">
        <f>IF(AC2025!H55="","",AC2025!H55)</f>
        <v/>
      </c>
      <c r="E56" s="227">
        <f>IF(AC2025!K55="","",AC2025!K55)</f>
        <v/>
      </c>
      <c r="F56" s="227">
        <f>IF(AC2025!L55="","",AC2025!L55)</f>
        <v/>
      </c>
      <c r="G56" s="227">
        <f>IF(AC2025!P55="","",AC2025!P55)</f>
        <v/>
      </c>
      <c r="H56" s="227">
        <f>IF(AC2025!O55="","",AC2025!O55)</f>
        <v/>
      </c>
      <c r="I56" s="227">
        <f>IF(AC2025!U55="","",AC2025!U55)</f>
        <v/>
      </c>
      <c r="J56" s="227">
        <f>IF(AC2025!X55="","",AC2025!X55)</f>
        <v/>
      </c>
      <c r="K56" s="227">
        <f>IF(AC2025!Y55="","",AC2025!Y55)</f>
        <v/>
      </c>
      <c r="L56" s="227">
        <f>IF(AC2025!Z55="","",AC2025!Z55)</f>
        <v/>
      </c>
      <c r="M56" s="227">
        <f>IF(AC2025!AA55="","",AC2025!AA55)</f>
        <v/>
      </c>
      <c r="N56" s="227">
        <f>IF(AC2025!AD55="","",AC2025!AD55)</f>
        <v/>
      </c>
      <c r="O56" s="227">
        <f>IF(AC2025!AE55="","",AC2025!AE55)</f>
        <v/>
      </c>
      <c r="P56" s="227">
        <f>IF(AC2025!AF55="","",AC2025!AF55)</f>
        <v/>
      </c>
      <c r="Q56" s="226">
        <f>IF(AC2025!AI55="","",AC2025!AI55)</f>
        <v/>
      </c>
      <c r="R56" s="227">
        <f>IF(AC2025!AM55="","",AC2025!AM55)</f>
        <v/>
      </c>
      <c r="S56" s="226">
        <f>IF(AC2025!AP55="","",AC2025!AP55)</f>
        <v/>
      </c>
      <c r="T56" s="227">
        <f>IF(AC2025!AT55="","",AC2025!AT55)</f>
        <v/>
      </c>
    </row>
    <row r="57">
      <c r="B57" s="226">
        <f>IF(AC2025!B56="","",AC2025!B56)</f>
        <v/>
      </c>
      <c r="C57" s="226">
        <f>IF(AC2025!E56="","",AC2025!E56)</f>
        <v/>
      </c>
      <c r="D57" s="227">
        <f>IF(AC2025!H56="","",AC2025!H56)</f>
        <v/>
      </c>
      <c r="E57" s="227">
        <f>IF(AC2025!K56="","",AC2025!K56)</f>
        <v/>
      </c>
      <c r="F57" s="227">
        <f>IF(AC2025!L56="","",AC2025!L56)</f>
        <v/>
      </c>
      <c r="G57" s="227">
        <f>IF(AC2025!P56="","",AC2025!P56)</f>
        <v/>
      </c>
      <c r="H57" s="227">
        <f>IF(AC2025!O56="","",AC2025!O56)</f>
        <v/>
      </c>
      <c r="I57" s="227">
        <f>IF(AC2025!U56="","",AC2025!U56)</f>
        <v/>
      </c>
      <c r="J57" s="227">
        <f>IF(AC2025!X56="","",AC2025!X56)</f>
        <v/>
      </c>
      <c r="K57" s="227">
        <f>IF(AC2025!Y56="","",AC2025!Y56)</f>
        <v/>
      </c>
      <c r="L57" s="227">
        <f>IF(AC2025!Z56="","",AC2025!Z56)</f>
        <v/>
      </c>
      <c r="M57" s="227">
        <f>IF(AC2025!AA56="","",AC2025!AA56)</f>
        <v/>
      </c>
      <c r="N57" s="227">
        <f>IF(AC2025!AD56="","",AC2025!AD56)</f>
        <v/>
      </c>
      <c r="O57" s="227">
        <f>IF(AC2025!AE56="","",AC2025!AE56)</f>
        <v/>
      </c>
      <c r="P57" s="227">
        <f>IF(AC2025!AF56="","",AC2025!AF56)</f>
        <v/>
      </c>
      <c r="Q57" s="226">
        <f>IF(AC2025!AI56="","",AC2025!AI56)</f>
        <v/>
      </c>
      <c r="R57" s="227">
        <f>IF(AC2025!AM56="","",AC2025!AM56)</f>
        <v/>
      </c>
      <c r="S57" s="226">
        <f>IF(AC2025!AP56="","",AC2025!AP56)</f>
        <v/>
      </c>
      <c r="T57" s="227">
        <f>IF(AC2025!AT56="","",AC2025!AT56)</f>
        <v/>
      </c>
    </row>
    <row r="58">
      <c r="B58" s="226">
        <f>IF(AC2025!B57="","",AC2025!B57)</f>
        <v/>
      </c>
      <c r="C58" s="226">
        <f>IF(AC2025!E57="","",AC2025!E57)</f>
        <v/>
      </c>
      <c r="D58" s="227">
        <f>IF(AC2025!H57="","",AC2025!H57)</f>
        <v/>
      </c>
      <c r="E58" s="227">
        <f>IF(AC2025!K57="","",AC2025!K57)</f>
        <v/>
      </c>
      <c r="F58" s="227">
        <f>IF(AC2025!L57="","",AC2025!L57)</f>
        <v/>
      </c>
      <c r="G58" s="227">
        <f>IF(AC2025!P57="","",AC2025!P57)</f>
        <v/>
      </c>
      <c r="H58" s="227">
        <f>IF(AC2025!O57="","",AC2025!O57)</f>
        <v/>
      </c>
      <c r="I58" s="227">
        <f>IF(AC2025!U57="","",AC2025!U57)</f>
        <v/>
      </c>
      <c r="J58" s="227">
        <f>IF(AC2025!X57="","",AC2025!X57)</f>
        <v/>
      </c>
      <c r="K58" s="227">
        <f>IF(AC2025!Y57="","",AC2025!Y57)</f>
        <v/>
      </c>
      <c r="L58" s="227">
        <f>IF(AC2025!Z57="","",AC2025!Z57)</f>
        <v/>
      </c>
      <c r="M58" s="227">
        <f>IF(AC2025!AA57="","",AC2025!AA57)</f>
        <v/>
      </c>
      <c r="N58" s="227">
        <f>IF(AC2025!AD57="","",AC2025!AD57)</f>
        <v/>
      </c>
      <c r="O58" s="227">
        <f>IF(AC2025!AE57="","",AC2025!AE57)</f>
        <v/>
      </c>
      <c r="P58" s="227">
        <f>IF(AC2025!AF57="","",AC2025!AF57)</f>
        <v/>
      </c>
      <c r="Q58" s="226">
        <f>IF(AC2025!AI57="","",AC2025!AI57)</f>
        <v/>
      </c>
      <c r="R58" s="227">
        <f>IF(AC2025!AM57="","",AC2025!AM57)</f>
        <v/>
      </c>
      <c r="S58" s="226">
        <f>IF(AC2025!AP57="","",AC2025!AP57)</f>
        <v/>
      </c>
      <c r="T58" s="227">
        <f>IF(AC2025!AT57="","",AC2025!AT57)</f>
        <v/>
      </c>
    </row>
    <row r="59">
      <c r="B59" s="226">
        <f>IF(AC2025!B58="","",AC2025!B58)</f>
        <v/>
      </c>
      <c r="C59" s="226">
        <f>IF(AC2025!E58="","",AC2025!E58)</f>
        <v/>
      </c>
      <c r="D59" s="227">
        <f>IF(AC2025!H58="","",AC2025!H58)</f>
        <v/>
      </c>
      <c r="E59" s="227">
        <f>IF(AC2025!K58="","",AC2025!K58)</f>
        <v/>
      </c>
      <c r="F59" s="227">
        <f>IF(AC2025!L58="","",AC2025!L58)</f>
        <v/>
      </c>
      <c r="G59" s="227">
        <f>IF(AC2025!P58="","",AC2025!P58)</f>
        <v/>
      </c>
      <c r="H59" s="227">
        <f>IF(AC2025!O58="","",AC2025!O58)</f>
        <v/>
      </c>
      <c r="I59" s="227">
        <f>IF(AC2025!U58="","",AC2025!U58)</f>
        <v/>
      </c>
      <c r="J59" s="227">
        <f>IF(AC2025!X58="","",AC2025!X58)</f>
        <v/>
      </c>
      <c r="K59" s="227">
        <f>IF(AC2025!Y58="","",AC2025!Y58)</f>
        <v/>
      </c>
      <c r="L59" s="227">
        <f>IF(AC2025!Z58="","",AC2025!Z58)</f>
        <v/>
      </c>
      <c r="M59" s="227">
        <f>IF(AC2025!AA58="","",AC2025!AA58)</f>
        <v/>
      </c>
      <c r="N59" s="227">
        <f>IF(AC2025!AD58="","",AC2025!AD58)</f>
        <v/>
      </c>
      <c r="O59" s="227">
        <f>IF(AC2025!AE58="","",AC2025!AE58)</f>
        <v/>
      </c>
      <c r="P59" s="227">
        <f>IF(AC2025!AF58="","",AC2025!AF58)</f>
        <v/>
      </c>
      <c r="Q59" s="226">
        <f>IF(AC2025!AI58="","",AC2025!AI58)</f>
        <v/>
      </c>
      <c r="R59" s="227">
        <f>IF(AC2025!AM58="","",AC2025!AM58)</f>
        <v/>
      </c>
      <c r="S59" s="226">
        <f>IF(AC2025!AP58="","",AC2025!AP58)</f>
        <v/>
      </c>
      <c r="T59" s="227">
        <f>IF(AC2025!AT58="","",AC2025!AT58)</f>
        <v/>
      </c>
    </row>
    <row r="60">
      <c r="B60" s="226">
        <f>IF(AC2025!B59="","",AC2025!B59)</f>
        <v/>
      </c>
      <c r="C60" s="226">
        <f>IF(AC2025!E59="","",AC2025!E59)</f>
        <v/>
      </c>
      <c r="D60" s="227">
        <f>IF(AC2025!H59="","",AC2025!H59)</f>
        <v/>
      </c>
      <c r="E60" s="227">
        <f>IF(AC2025!K59="","",AC2025!K59)</f>
        <v/>
      </c>
      <c r="F60" s="227">
        <f>IF(AC2025!L59="","",AC2025!L59)</f>
        <v/>
      </c>
      <c r="G60" s="227">
        <f>IF(AC2025!P59="","",AC2025!P59)</f>
        <v/>
      </c>
      <c r="H60" s="227">
        <f>IF(AC2025!O59="","",AC2025!O59)</f>
        <v/>
      </c>
      <c r="I60" s="227">
        <f>IF(AC2025!U59="","",AC2025!U59)</f>
        <v/>
      </c>
      <c r="J60" s="227">
        <f>IF(AC2025!X59="","",AC2025!X59)</f>
        <v/>
      </c>
      <c r="K60" s="227">
        <f>IF(AC2025!Y59="","",AC2025!Y59)</f>
        <v/>
      </c>
      <c r="L60" s="227">
        <f>IF(AC2025!Z59="","",AC2025!Z59)</f>
        <v/>
      </c>
      <c r="M60" s="227">
        <f>IF(AC2025!AA59="","",AC2025!AA59)</f>
        <v/>
      </c>
      <c r="N60" s="227">
        <f>IF(AC2025!AD59="","",AC2025!AD59)</f>
        <v/>
      </c>
      <c r="O60" s="227">
        <f>IF(AC2025!AE59="","",AC2025!AE59)</f>
        <v/>
      </c>
      <c r="P60" s="227">
        <f>IF(AC2025!AF59="","",AC2025!AF59)</f>
        <v/>
      </c>
      <c r="Q60" s="226">
        <f>IF(AC2025!AI59="","",AC2025!AI59)</f>
        <v/>
      </c>
      <c r="R60" s="227">
        <f>IF(AC2025!AM59="","",AC2025!AM59)</f>
        <v/>
      </c>
      <c r="S60" s="226">
        <f>IF(AC2025!AP59="","",AC2025!AP59)</f>
        <v/>
      </c>
      <c r="T60" s="227">
        <f>IF(AC2025!AT59="","",AC2025!AT59)</f>
        <v/>
      </c>
    </row>
    <row r="61">
      <c r="B61" s="226">
        <f>IF(AC2025!B60="","",AC2025!B60)</f>
        <v/>
      </c>
      <c r="C61" s="226">
        <f>IF(AC2025!E60="","",AC2025!E60)</f>
        <v/>
      </c>
      <c r="D61" s="227">
        <f>IF(AC2025!H60="","",AC2025!H60)</f>
        <v/>
      </c>
      <c r="E61" s="227">
        <f>IF(AC2025!K60="","",AC2025!K60)</f>
        <v/>
      </c>
      <c r="F61" s="227">
        <f>IF(AC2025!L60="","",AC2025!L60)</f>
        <v/>
      </c>
      <c r="G61" s="227">
        <f>IF(AC2025!P60="","",AC2025!P60)</f>
        <v/>
      </c>
      <c r="H61" s="227">
        <f>IF(AC2025!O60="","",AC2025!O60)</f>
        <v/>
      </c>
      <c r="I61" s="227">
        <f>IF(AC2025!U60="","",AC2025!U60)</f>
        <v/>
      </c>
      <c r="J61" s="227">
        <f>IF(AC2025!X60="","",AC2025!X60)</f>
        <v/>
      </c>
      <c r="K61" s="227">
        <f>IF(AC2025!Y60="","",AC2025!Y60)</f>
        <v/>
      </c>
      <c r="L61" s="227">
        <f>IF(AC2025!Z60="","",AC2025!Z60)</f>
        <v/>
      </c>
      <c r="M61" s="227">
        <f>IF(AC2025!AA60="","",AC2025!AA60)</f>
        <v/>
      </c>
      <c r="N61" s="227">
        <f>IF(AC2025!AD60="","",AC2025!AD60)</f>
        <v/>
      </c>
      <c r="O61" s="227">
        <f>IF(AC2025!AE60="","",AC2025!AE60)</f>
        <v/>
      </c>
      <c r="P61" s="227">
        <f>IF(AC2025!AF60="","",AC2025!AF60)</f>
        <v/>
      </c>
      <c r="Q61" s="226">
        <f>IF(AC2025!AI60="","",AC2025!AI60)</f>
        <v/>
      </c>
      <c r="R61" s="227">
        <f>IF(AC2025!AM60="","",AC2025!AM60)</f>
        <v/>
      </c>
      <c r="S61" s="226">
        <f>IF(AC2025!AP60="","",AC2025!AP60)</f>
        <v/>
      </c>
      <c r="T61" s="227">
        <f>IF(AC2025!AT60="","",AC2025!AT60)</f>
        <v/>
      </c>
    </row>
    <row r="62">
      <c r="B62" s="226">
        <f>IF(AC2025!B61="","",AC2025!B61)</f>
        <v/>
      </c>
      <c r="C62" s="226">
        <f>IF(AC2025!E61="","",AC2025!E61)</f>
        <v/>
      </c>
      <c r="D62" s="227">
        <f>IF(AC2025!H61="","",AC2025!H61)</f>
        <v/>
      </c>
      <c r="E62" s="227">
        <f>IF(AC2025!K61="","",AC2025!K61)</f>
        <v/>
      </c>
      <c r="F62" s="227">
        <f>IF(AC2025!L61="","",AC2025!L61)</f>
        <v/>
      </c>
      <c r="G62" s="227">
        <f>IF(AC2025!P61="","",AC2025!P61)</f>
        <v/>
      </c>
      <c r="H62" s="227">
        <f>IF(AC2025!O61="","",AC2025!O61)</f>
        <v/>
      </c>
      <c r="I62" s="227">
        <f>IF(AC2025!U61="","",AC2025!U61)</f>
        <v/>
      </c>
      <c r="J62" s="227">
        <f>IF(AC2025!X61="","",AC2025!X61)</f>
        <v/>
      </c>
      <c r="K62" s="227">
        <f>IF(AC2025!Y61="","",AC2025!Y61)</f>
        <v/>
      </c>
      <c r="L62" s="227">
        <f>IF(AC2025!Z61="","",AC2025!Z61)</f>
        <v/>
      </c>
      <c r="M62" s="227">
        <f>IF(AC2025!AA61="","",AC2025!AA61)</f>
        <v/>
      </c>
      <c r="N62" s="227">
        <f>IF(AC2025!AD61="","",AC2025!AD61)</f>
        <v/>
      </c>
      <c r="O62" s="227">
        <f>IF(AC2025!AE61="","",AC2025!AE61)</f>
        <v/>
      </c>
      <c r="P62" s="227">
        <f>IF(AC2025!AF61="","",AC2025!AF61)</f>
        <v/>
      </c>
      <c r="Q62" s="226">
        <f>IF(AC2025!AI61="","",AC2025!AI61)</f>
        <v/>
      </c>
      <c r="R62" s="227">
        <f>IF(AC2025!AM61="","",AC2025!AM61)</f>
        <v/>
      </c>
      <c r="S62" s="226">
        <f>IF(AC2025!AP61="","",AC2025!AP61)</f>
        <v/>
      </c>
      <c r="T62" s="227">
        <f>IF(AC2025!AT61="","",AC2025!AT61)</f>
        <v/>
      </c>
    </row>
    <row r="63">
      <c r="B63" s="226">
        <f>IF(AC2025!B62="","",AC2025!B62)</f>
        <v/>
      </c>
      <c r="C63" s="226">
        <f>IF(AC2025!E62="","",AC2025!E62)</f>
        <v/>
      </c>
      <c r="D63" s="227">
        <f>IF(AC2025!H62="","",AC2025!H62)</f>
        <v/>
      </c>
      <c r="E63" s="227">
        <f>IF(AC2025!K62="","",AC2025!K62)</f>
        <v/>
      </c>
      <c r="F63" s="227">
        <f>IF(AC2025!L62="","",AC2025!L62)</f>
        <v/>
      </c>
      <c r="G63" s="227">
        <f>IF(AC2025!P62="","",AC2025!P62)</f>
        <v/>
      </c>
      <c r="H63" s="227">
        <f>IF(AC2025!O62="","",AC2025!O62)</f>
        <v/>
      </c>
      <c r="I63" s="227">
        <f>IF(AC2025!U62="","",AC2025!U62)</f>
        <v/>
      </c>
      <c r="J63" s="227">
        <f>IF(AC2025!X62="","",AC2025!X62)</f>
        <v/>
      </c>
      <c r="K63" s="227">
        <f>IF(AC2025!Y62="","",AC2025!Y62)</f>
        <v/>
      </c>
      <c r="L63" s="227">
        <f>IF(AC2025!Z62="","",AC2025!Z62)</f>
        <v/>
      </c>
      <c r="M63" s="227">
        <f>IF(AC2025!AA62="","",AC2025!AA62)</f>
        <v/>
      </c>
      <c r="N63" s="227">
        <f>IF(AC2025!AD62="","",AC2025!AD62)</f>
        <v/>
      </c>
      <c r="O63" s="227">
        <f>IF(AC2025!AE62="","",AC2025!AE62)</f>
        <v/>
      </c>
      <c r="P63" s="227">
        <f>IF(AC2025!AF62="","",AC2025!AF62)</f>
        <v/>
      </c>
      <c r="Q63" s="226">
        <f>IF(AC2025!AI62="","",AC2025!AI62)</f>
        <v/>
      </c>
      <c r="R63" s="227">
        <f>IF(AC2025!AM62="","",AC2025!AM62)</f>
        <v/>
      </c>
      <c r="S63" s="226">
        <f>IF(AC2025!AP62="","",AC2025!AP62)</f>
        <v/>
      </c>
      <c r="T63" s="227">
        <f>IF(AC2025!AT62="","",AC2025!AT62)</f>
        <v/>
      </c>
    </row>
    <row r="64">
      <c r="B64" s="226">
        <f>IF(AC2025!B63="","",AC2025!B63)</f>
        <v/>
      </c>
      <c r="C64" s="226">
        <f>IF(AC2025!E63="","",AC2025!E63)</f>
        <v/>
      </c>
      <c r="D64" s="227">
        <f>IF(AC2025!H63="","",AC2025!H63)</f>
        <v/>
      </c>
      <c r="E64" s="227">
        <f>IF(AC2025!K63="","",AC2025!K63)</f>
        <v/>
      </c>
      <c r="F64" s="227">
        <f>IF(AC2025!L63="","",AC2025!L63)</f>
        <v/>
      </c>
      <c r="G64" s="227">
        <f>IF(AC2025!P63="","",AC2025!P63)</f>
        <v/>
      </c>
      <c r="H64" s="227">
        <f>IF(AC2025!O63="","",AC2025!O63)</f>
        <v/>
      </c>
      <c r="I64" s="227">
        <f>IF(AC2025!U63="","",AC2025!U63)</f>
        <v/>
      </c>
      <c r="J64" s="227">
        <f>IF(AC2025!X63="","",AC2025!X63)</f>
        <v/>
      </c>
      <c r="K64" s="227">
        <f>IF(AC2025!Y63="","",AC2025!Y63)</f>
        <v/>
      </c>
      <c r="L64" s="227">
        <f>IF(AC2025!Z63="","",AC2025!Z63)</f>
        <v/>
      </c>
      <c r="M64" s="227">
        <f>IF(AC2025!AA63="","",AC2025!AA63)</f>
        <v/>
      </c>
      <c r="N64" s="227">
        <f>IF(AC2025!AD63="","",AC2025!AD63)</f>
        <v/>
      </c>
      <c r="O64" s="227">
        <f>IF(AC2025!AE63="","",AC2025!AE63)</f>
        <v/>
      </c>
      <c r="P64" s="227">
        <f>IF(AC2025!AF63="","",AC2025!AF63)</f>
        <v/>
      </c>
      <c r="Q64" s="226">
        <f>IF(AC2025!AI63="","",AC2025!AI63)</f>
        <v/>
      </c>
      <c r="R64" s="227">
        <f>IF(AC2025!AM63="","",AC2025!AM63)</f>
        <v/>
      </c>
      <c r="S64" s="226">
        <f>IF(AC2025!AP63="","",AC2025!AP63)</f>
        <v/>
      </c>
      <c r="T64" s="227">
        <f>IF(AC2025!AT63="","",AC2025!AT63)</f>
        <v/>
      </c>
    </row>
    <row r="65">
      <c r="B65" s="226">
        <f>IF(AC2025!B64="","",AC2025!B64)</f>
        <v/>
      </c>
      <c r="C65" s="226">
        <f>IF(AC2025!E64="","",AC2025!E64)</f>
        <v/>
      </c>
      <c r="D65" s="227">
        <f>IF(AC2025!H64="","",AC2025!H64)</f>
        <v/>
      </c>
      <c r="E65" s="227">
        <f>IF(AC2025!K64="","",AC2025!K64)</f>
        <v/>
      </c>
      <c r="F65" s="227">
        <f>IF(AC2025!L64="","",AC2025!L64)</f>
        <v/>
      </c>
      <c r="G65" s="227">
        <f>IF(AC2025!P64="","",AC2025!P64)</f>
        <v/>
      </c>
      <c r="H65" s="227">
        <f>IF(AC2025!O64="","",AC2025!O64)</f>
        <v/>
      </c>
      <c r="I65" s="227">
        <f>IF(AC2025!U64="","",AC2025!U64)</f>
        <v/>
      </c>
      <c r="J65" s="227">
        <f>IF(AC2025!X64="","",AC2025!X64)</f>
        <v/>
      </c>
      <c r="K65" s="227">
        <f>IF(AC2025!Y64="","",AC2025!Y64)</f>
        <v/>
      </c>
      <c r="L65" s="227">
        <f>IF(AC2025!Z64="","",AC2025!Z64)</f>
        <v/>
      </c>
      <c r="M65" s="227">
        <f>IF(AC2025!AA64="","",AC2025!AA64)</f>
        <v/>
      </c>
      <c r="N65" s="227">
        <f>IF(AC2025!AD64="","",AC2025!AD64)</f>
        <v/>
      </c>
      <c r="O65" s="227">
        <f>IF(AC2025!AE64="","",AC2025!AE64)</f>
        <v/>
      </c>
      <c r="P65" s="227">
        <f>IF(AC2025!AF64="","",AC2025!AF64)</f>
        <v/>
      </c>
      <c r="Q65" s="226">
        <f>IF(AC2025!AI64="","",AC2025!AI64)</f>
        <v/>
      </c>
      <c r="R65" s="227">
        <f>IF(AC2025!AM64="","",AC2025!AM64)</f>
        <v/>
      </c>
      <c r="S65" s="226">
        <f>IF(AC2025!AP64="","",AC2025!AP64)</f>
        <v/>
      </c>
      <c r="T65" s="227">
        <f>IF(AC2025!AT64="","",AC2025!AT64)</f>
        <v/>
      </c>
    </row>
    <row r="66">
      <c r="B66" s="226">
        <f>IF(AC2025!B65="","",AC2025!B65)</f>
        <v/>
      </c>
      <c r="C66" s="226">
        <f>IF(AC2025!E65="","",AC2025!E65)</f>
        <v/>
      </c>
      <c r="D66" s="227">
        <f>IF(AC2025!H65="","",AC2025!H65)</f>
        <v/>
      </c>
      <c r="E66" s="227">
        <f>IF(AC2025!K65="","",AC2025!K65)</f>
        <v/>
      </c>
      <c r="F66" s="227">
        <f>IF(AC2025!L65="","",AC2025!L65)</f>
        <v/>
      </c>
      <c r="G66" s="227">
        <f>IF(AC2025!P65="","",AC2025!P65)</f>
        <v/>
      </c>
      <c r="H66" s="227">
        <f>IF(AC2025!O65="","",AC2025!O65)</f>
        <v/>
      </c>
      <c r="I66" s="227">
        <f>IF(AC2025!U65="","",AC2025!U65)</f>
        <v/>
      </c>
      <c r="J66" s="227">
        <f>IF(AC2025!X65="","",AC2025!X65)</f>
        <v/>
      </c>
      <c r="K66" s="227">
        <f>IF(AC2025!Y65="","",AC2025!Y65)</f>
        <v/>
      </c>
      <c r="L66" s="227">
        <f>IF(AC2025!Z65="","",AC2025!Z65)</f>
        <v/>
      </c>
      <c r="M66" s="227">
        <f>IF(AC2025!AA65="","",AC2025!AA65)</f>
        <v/>
      </c>
      <c r="N66" s="227">
        <f>IF(AC2025!AD65="","",AC2025!AD65)</f>
        <v/>
      </c>
      <c r="O66" s="227">
        <f>IF(AC2025!AE65="","",AC2025!AE65)</f>
        <v/>
      </c>
      <c r="P66" s="227">
        <f>IF(AC2025!AF65="","",AC2025!AF65)</f>
        <v/>
      </c>
      <c r="Q66" s="226">
        <f>IF(AC2025!AI65="","",AC2025!AI65)</f>
        <v/>
      </c>
      <c r="R66" s="227">
        <f>IF(AC2025!AM65="","",AC2025!AM65)</f>
        <v/>
      </c>
      <c r="S66" s="226">
        <f>IF(AC2025!AP65="","",AC2025!AP65)</f>
        <v/>
      </c>
      <c r="T66" s="227">
        <f>IF(AC2025!AT65="","",AC2025!AT65)</f>
        <v/>
      </c>
    </row>
    <row r="67">
      <c r="B67" s="226">
        <f>IF(AC2025!B66="","",AC2025!B66)</f>
        <v/>
      </c>
      <c r="C67" s="226">
        <f>IF(AC2025!E66="","",AC2025!E66)</f>
        <v/>
      </c>
      <c r="D67" s="227">
        <f>IF(AC2025!H66="","",AC2025!H66)</f>
        <v/>
      </c>
      <c r="E67" s="227">
        <f>IF(AC2025!K66="","",AC2025!K66)</f>
        <v/>
      </c>
      <c r="F67" s="227">
        <f>IF(AC2025!L66="","",AC2025!L66)</f>
        <v/>
      </c>
      <c r="G67" s="227">
        <f>IF(AC2025!P66="","",AC2025!P66)</f>
        <v/>
      </c>
      <c r="H67" s="227">
        <f>IF(AC2025!O66="","",AC2025!O66)</f>
        <v/>
      </c>
      <c r="I67" s="227">
        <f>IF(AC2025!U66="","",AC2025!U66)</f>
        <v/>
      </c>
      <c r="J67" s="227">
        <f>IF(AC2025!X66="","",AC2025!X66)</f>
        <v/>
      </c>
      <c r="K67" s="227">
        <f>IF(AC2025!Y66="","",AC2025!Y66)</f>
        <v/>
      </c>
      <c r="L67" s="227">
        <f>IF(AC2025!Z66="","",AC2025!Z66)</f>
        <v/>
      </c>
      <c r="M67" s="227">
        <f>IF(AC2025!AA66="","",AC2025!AA66)</f>
        <v/>
      </c>
      <c r="N67" s="227">
        <f>IF(AC2025!AD66="","",AC2025!AD66)</f>
        <v/>
      </c>
      <c r="O67" s="227">
        <f>IF(AC2025!AE66="","",AC2025!AE66)</f>
        <v/>
      </c>
      <c r="P67" s="227">
        <f>IF(AC2025!AF66="","",AC2025!AF66)</f>
        <v/>
      </c>
      <c r="Q67" s="226">
        <f>IF(AC2025!AI66="","",AC2025!AI66)</f>
        <v/>
      </c>
      <c r="R67" s="227">
        <f>IF(AC2025!AM66="","",AC2025!AM66)</f>
        <v/>
      </c>
      <c r="S67" s="226">
        <f>IF(AC2025!AP66="","",AC2025!AP66)</f>
        <v/>
      </c>
      <c r="T67" s="227">
        <f>IF(AC2025!AT66="","",AC2025!AT66)</f>
        <v/>
      </c>
    </row>
    <row r="68">
      <c r="B68" s="226">
        <f>IF(AC2025!B67="","",AC2025!B67)</f>
        <v/>
      </c>
      <c r="C68" s="226">
        <f>IF(AC2025!E67="","",AC2025!E67)</f>
        <v/>
      </c>
      <c r="D68" s="227">
        <f>IF(AC2025!H67="","",AC2025!H67)</f>
        <v/>
      </c>
      <c r="E68" s="227">
        <f>IF(AC2025!K67="","",AC2025!K67)</f>
        <v/>
      </c>
      <c r="F68" s="227">
        <f>IF(AC2025!L67="","",AC2025!L67)</f>
        <v/>
      </c>
      <c r="G68" s="227">
        <f>IF(AC2025!P67="","",AC2025!P67)</f>
        <v/>
      </c>
      <c r="H68" s="227">
        <f>IF(AC2025!O67="","",AC2025!O67)</f>
        <v/>
      </c>
      <c r="I68" s="227">
        <f>IF(AC2025!U67="","",AC2025!U67)</f>
        <v/>
      </c>
      <c r="J68" s="227">
        <f>IF(AC2025!X67="","",AC2025!X67)</f>
        <v/>
      </c>
      <c r="K68" s="227">
        <f>IF(AC2025!Y67="","",AC2025!Y67)</f>
        <v/>
      </c>
      <c r="L68" s="227">
        <f>IF(AC2025!Z67="","",AC2025!Z67)</f>
        <v/>
      </c>
      <c r="M68" s="227">
        <f>IF(AC2025!AA67="","",AC2025!AA67)</f>
        <v/>
      </c>
      <c r="N68" s="227">
        <f>IF(AC2025!AD67="","",AC2025!AD67)</f>
        <v/>
      </c>
      <c r="O68" s="227">
        <f>IF(AC2025!AE67="","",AC2025!AE67)</f>
        <v/>
      </c>
      <c r="P68" s="227">
        <f>IF(AC2025!AF67="","",AC2025!AF67)</f>
        <v/>
      </c>
      <c r="Q68" s="226">
        <f>IF(AC2025!AI67="","",AC2025!AI67)</f>
        <v/>
      </c>
      <c r="R68" s="227">
        <f>IF(AC2025!AM67="","",AC2025!AM67)</f>
        <v/>
      </c>
      <c r="S68" s="226">
        <f>IF(AC2025!AP67="","",AC2025!AP67)</f>
        <v/>
      </c>
      <c r="T68" s="227">
        <f>IF(AC2025!AT67="","",AC2025!AT67)</f>
        <v/>
      </c>
    </row>
    <row r="69">
      <c r="B69" s="226">
        <f>IF(AC2025!B68="","",AC2025!B68)</f>
        <v/>
      </c>
      <c r="C69" s="226">
        <f>IF(AC2025!E68="","",AC2025!E68)</f>
        <v/>
      </c>
      <c r="D69" s="227">
        <f>IF(AC2025!H68="","",AC2025!H68)</f>
        <v/>
      </c>
      <c r="E69" s="227">
        <f>IF(AC2025!K68="","",AC2025!K68)</f>
        <v/>
      </c>
      <c r="F69" s="227">
        <f>IF(AC2025!L68="","",AC2025!L68)</f>
        <v/>
      </c>
      <c r="G69" s="227">
        <f>IF(AC2025!P68="","",AC2025!P68)</f>
        <v/>
      </c>
      <c r="H69" s="227">
        <f>IF(AC2025!O68="","",AC2025!O68)</f>
        <v/>
      </c>
      <c r="I69" s="227">
        <f>IF(AC2025!U68="","",AC2025!U68)</f>
        <v/>
      </c>
      <c r="J69" s="227">
        <f>IF(AC2025!X68="","",AC2025!X68)</f>
        <v/>
      </c>
      <c r="K69" s="227">
        <f>IF(AC2025!Y68="","",AC2025!Y68)</f>
        <v/>
      </c>
      <c r="L69" s="227">
        <f>IF(AC2025!Z68="","",AC2025!Z68)</f>
        <v/>
      </c>
      <c r="M69" s="227">
        <f>IF(AC2025!AA68="","",AC2025!AA68)</f>
        <v/>
      </c>
      <c r="N69" s="227">
        <f>IF(AC2025!AD68="","",AC2025!AD68)</f>
        <v/>
      </c>
      <c r="O69" s="227">
        <f>IF(AC2025!AE68="","",AC2025!AE68)</f>
        <v/>
      </c>
      <c r="P69" s="227">
        <f>IF(AC2025!AF68="","",AC2025!AF68)</f>
        <v/>
      </c>
      <c r="Q69" s="226">
        <f>IF(AC2025!AI68="","",AC2025!AI68)</f>
        <v/>
      </c>
      <c r="R69" s="227">
        <f>IF(AC2025!AM68="","",AC2025!AM68)</f>
        <v/>
      </c>
      <c r="S69" s="226">
        <f>IF(AC2025!AP68="","",AC2025!AP68)</f>
        <v/>
      </c>
      <c r="T69" s="227">
        <f>IF(AC2025!AT68="","",AC2025!AT68)</f>
        <v/>
      </c>
    </row>
    <row r="70">
      <c r="B70" s="226">
        <f>IF(AC2025!B69="","",AC2025!B69)</f>
        <v/>
      </c>
      <c r="C70" s="226">
        <f>IF(AC2025!E69="","",AC2025!E69)</f>
        <v/>
      </c>
      <c r="D70" s="227">
        <f>IF(AC2025!H69="","",AC2025!H69)</f>
        <v/>
      </c>
      <c r="E70" s="227">
        <f>IF(AC2025!K69="","",AC2025!K69)</f>
        <v/>
      </c>
      <c r="F70" s="227">
        <f>IF(AC2025!L69="","",AC2025!L69)</f>
        <v/>
      </c>
      <c r="G70" s="227">
        <f>IF(AC2025!P69="","",AC2025!P69)</f>
        <v/>
      </c>
      <c r="H70" s="227">
        <f>IF(AC2025!O69="","",AC2025!O69)</f>
        <v/>
      </c>
      <c r="I70" s="227">
        <f>IF(AC2025!U69="","",AC2025!U69)</f>
        <v/>
      </c>
      <c r="J70" s="227">
        <f>IF(AC2025!X69="","",AC2025!X69)</f>
        <v/>
      </c>
      <c r="K70" s="227">
        <f>IF(AC2025!Y69="","",AC2025!Y69)</f>
        <v/>
      </c>
      <c r="L70" s="227">
        <f>IF(AC2025!Z69="","",AC2025!Z69)</f>
        <v/>
      </c>
      <c r="M70" s="227">
        <f>IF(AC2025!AA69="","",AC2025!AA69)</f>
        <v/>
      </c>
      <c r="N70" s="227">
        <f>IF(AC2025!AD69="","",AC2025!AD69)</f>
        <v/>
      </c>
      <c r="O70" s="227">
        <f>IF(AC2025!AE69="","",AC2025!AE69)</f>
        <v/>
      </c>
      <c r="P70" s="227">
        <f>IF(AC2025!AF69="","",AC2025!AF69)</f>
        <v/>
      </c>
      <c r="Q70" s="226">
        <f>IF(AC2025!AI69="","",AC2025!AI69)</f>
        <v/>
      </c>
      <c r="R70" s="227">
        <f>IF(AC2025!AM69="","",AC2025!AM69)</f>
        <v/>
      </c>
      <c r="S70" s="226">
        <f>IF(AC2025!AP69="","",AC2025!AP69)</f>
        <v/>
      </c>
      <c r="T70" s="227">
        <f>IF(AC2025!AT69="","",AC2025!AT69)</f>
        <v/>
      </c>
    </row>
    <row r="71">
      <c r="B71" s="226">
        <f>IF(AC2025!B70="","",AC2025!B70)</f>
        <v/>
      </c>
      <c r="C71" s="226">
        <f>IF(AC2025!E70="","",AC2025!E70)</f>
        <v/>
      </c>
      <c r="D71" s="227">
        <f>IF(AC2025!H70="","",AC2025!H70)</f>
        <v/>
      </c>
      <c r="E71" s="227">
        <f>IF(AC2025!K70="","",AC2025!K70)</f>
        <v/>
      </c>
      <c r="F71" s="227">
        <f>IF(AC2025!L70="","",AC2025!L70)</f>
        <v/>
      </c>
      <c r="G71" s="227">
        <f>IF(AC2025!P70="","",AC2025!P70)</f>
        <v/>
      </c>
      <c r="H71" s="227">
        <f>IF(AC2025!O70="","",AC2025!O70)</f>
        <v/>
      </c>
      <c r="I71" s="227">
        <f>IF(AC2025!U70="","",AC2025!U70)</f>
        <v/>
      </c>
      <c r="J71" s="227">
        <f>IF(AC2025!X70="","",AC2025!X70)</f>
        <v/>
      </c>
      <c r="K71" s="227">
        <f>IF(AC2025!Y70="","",AC2025!Y70)</f>
        <v/>
      </c>
      <c r="L71" s="227">
        <f>IF(AC2025!Z70="","",AC2025!Z70)</f>
        <v/>
      </c>
      <c r="M71" s="227">
        <f>IF(AC2025!AA70="","",AC2025!AA70)</f>
        <v/>
      </c>
      <c r="N71" s="227">
        <f>IF(AC2025!AD70="","",AC2025!AD70)</f>
        <v/>
      </c>
      <c r="O71" s="227">
        <f>IF(AC2025!AE70="","",AC2025!AE70)</f>
        <v/>
      </c>
      <c r="P71" s="227">
        <f>IF(AC2025!AF70="","",AC2025!AF70)</f>
        <v/>
      </c>
      <c r="Q71" s="226">
        <f>IF(AC2025!AI70="","",AC2025!AI70)</f>
        <v/>
      </c>
      <c r="R71" s="227">
        <f>IF(AC2025!AM70="","",AC2025!AM70)</f>
        <v/>
      </c>
      <c r="S71" s="226">
        <f>IF(AC2025!AP70="","",AC2025!AP70)</f>
        <v/>
      </c>
      <c r="T71" s="227">
        <f>IF(AC2025!AT70="","",AC2025!AT70)</f>
        <v/>
      </c>
    </row>
    <row r="72">
      <c r="B72" s="226">
        <f>IF(AC2025!B71="","",AC2025!B71)</f>
        <v/>
      </c>
      <c r="C72" s="226">
        <f>IF(AC2025!E71="","",AC2025!E71)</f>
        <v/>
      </c>
      <c r="D72" s="227">
        <f>IF(AC2025!H71="","",AC2025!H71)</f>
        <v/>
      </c>
      <c r="E72" s="227">
        <f>IF(AC2025!K71="","",AC2025!K71)</f>
        <v/>
      </c>
      <c r="F72" s="227">
        <f>IF(AC2025!L71="","",AC2025!L71)</f>
        <v/>
      </c>
      <c r="G72" s="227">
        <f>IF(AC2025!P71="","",AC2025!P71)</f>
        <v/>
      </c>
      <c r="H72" s="227">
        <f>IF(AC2025!O71="","",AC2025!O71)</f>
        <v/>
      </c>
      <c r="I72" s="227">
        <f>IF(AC2025!U71="","",AC2025!U71)</f>
        <v/>
      </c>
      <c r="J72" s="227">
        <f>IF(AC2025!X71="","",AC2025!X71)</f>
        <v/>
      </c>
      <c r="K72" s="227">
        <f>IF(AC2025!Y71="","",AC2025!Y71)</f>
        <v/>
      </c>
      <c r="L72" s="227">
        <f>IF(AC2025!Z71="","",AC2025!Z71)</f>
        <v/>
      </c>
      <c r="M72" s="227">
        <f>IF(AC2025!AA71="","",AC2025!AA71)</f>
        <v/>
      </c>
      <c r="N72" s="227">
        <f>IF(AC2025!AD71="","",AC2025!AD71)</f>
        <v/>
      </c>
      <c r="O72" s="227">
        <f>IF(AC2025!AE71="","",AC2025!AE71)</f>
        <v/>
      </c>
      <c r="P72" s="227">
        <f>IF(AC2025!AF71="","",AC2025!AF71)</f>
        <v/>
      </c>
      <c r="Q72" s="226">
        <f>IF(AC2025!AI71="","",AC2025!AI71)</f>
        <v/>
      </c>
      <c r="R72" s="227">
        <f>IF(AC2025!AM71="","",AC2025!AM71)</f>
        <v/>
      </c>
      <c r="S72" s="226">
        <f>IF(AC2025!AP71="","",AC2025!AP71)</f>
        <v/>
      </c>
      <c r="T72" s="227">
        <f>IF(AC2025!AT71="","",AC2025!AT71)</f>
        <v/>
      </c>
    </row>
    <row r="73">
      <c r="B73" s="226">
        <f>IF(AC2025!B72="","",AC2025!B72)</f>
        <v/>
      </c>
      <c r="C73" s="226">
        <f>IF(AC2025!E72="","",AC2025!E72)</f>
        <v/>
      </c>
      <c r="D73" s="227">
        <f>IF(AC2025!H72="","",AC2025!H72)</f>
        <v/>
      </c>
      <c r="E73" s="227">
        <f>IF(AC2025!K72="","",AC2025!K72)</f>
        <v/>
      </c>
      <c r="F73" s="227">
        <f>IF(AC2025!L72="","",AC2025!L72)</f>
        <v/>
      </c>
      <c r="G73" s="227">
        <f>IF(AC2025!P72="","",AC2025!P72)</f>
        <v/>
      </c>
      <c r="H73" s="227">
        <f>IF(AC2025!O72="","",AC2025!O72)</f>
        <v/>
      </c>
      <c r="I73" s="227">
        <f>IF(AC2025!U72="","",AC2025!U72)</f>
        <v/>
      </c>
      <c r="J73" s="227">
        <f>IF(AC2025!X72="","",AC2025!X72)</f>
        <v/>
      </c>
      <c r="K73" s="227">
        <f>IF(AC2025!Y72="","",AC2025!Y72)</f>
        <v/>
      </c>
      <c r="L73" s="227">
        <f>IF(AC2025!Z72="","",AC2025!Z72)</f>
        <v/>
      </c>
      <c r="M73" s="227">
        <f>IF(AC2025!AA72="","",AC2025!AA72)</f>
        <v/>
      </c>
      <c r="N73" s="227">
        <f>IF(AC2025!AD72="","",AC2025!AD72)</f>
        <v/>
      </c>
      <c r="O73" s="227">
        <f>IF(AC2025!AE72="","",AC2025!AE72)</f>
        <v/>
      </c>
      <c r="P73" s="227">
        <f>IF(AC2025!AF72="","",AC2025!AF72)</f>
        <v/>
      </c>
      <c r="Q73" s="226">
        <f>IF(AC2025!AI72="","",AC2025!AI72)</f>
        <v/>
      </c>
      <c r="R73" s="227">
        <f>IF(AC2025!AM72="","",AC2025!AM72)</f>
        <v/>
      </c>
      <c r="S73" s="226">
        <f>IF(AC2025!AP72="","",AC2025!AP72)</f>
        <v/>
      </c>
      <c r="T73" s="227">
        <f>IF(AC2025!AT72="","",AC2025!AT72)</f>
        <v/>
      </c>
    </row>
    <row r="74">
      <c r="B74" s="226">
        <f>IF(AC2025!B73="","",AC2025!B73)</f>
        <v/>
      </c>
      <c r="C74" s="226">
        <f>IF(AC2025!E73="","",AC2025!E73)</f>
        <v/>
      </c>
      <c r="D74" s="227">
        <f>IF(AC2025!H73="","",AC2025!H73)</f>
        <v/>
      </c>
      <c r="E74" s="227">
        <f>IF(AC2025!K73="","",AC2025!K73)</f>
        <v/>
      </c>
      <c r="F74" s="227">
        <f>IF(AC2025!L73="","",AC2025!L73)</f>
        <v/>
      </c>
      <c r="G74" s="227">
        <f>IF(AC2025!P73="","",AC2025!P73)</f>
        <v/>
      </c>
      <c r="H74" s="227">
        <f>IF(AC2025!O73="","",AC2025!O73)</f>
        <v/>
      </c>
      <c r="I74" s="227">
        <f>IF(AC2025!U73="","",AC2025!U73)</f>
        <v/>
      </c>
      <c r="J74" s="227">
        <f>IF(AC2025!X73="","",AC2025!X73)</f>
        <v/>
      </c>
      <c r="K74" s="227">
        <f>IF(AC2025!Y73="","",AC2025!Y73)</f>
        <v/>
      </c>
      <c r="L74" s="227">
        <f>IF(AC2025!Z73="","",AC2025!Z73)</f>
        <v/>
      </c>
      <c r="M74" s="227">
        <f>IF(AC2025!AA73="","",AC2025!AA73)</f>
        <v/>
      </c>
      <c r="N74" s="227">
        <f>IF(AC2025!AD73="","",AC2025!AD73)</f>
        <v/>
      </c>
      <c r="O74" s="227">
        <f>IF(AC2025!AE73="","",AC2025!AE73)</f>
        <v/>
      </c>
      <c r="P74" s="227">
        <f>IF(AC2025!AF73="","",AC2025!AF73)</f>
        <v/>
      </c>
      <c r="Q74" s="226">
        <f>IF(AC2025!AI73="","",AC2025!AI73)</f>
        <v/>
      </c>
      <c r="R74" s="227">
        <f>IF(AC2025!AM73="","",AC2025!AM73)</f>
        <v/>
      </c>
      <c r="S74" s="226">
        <f>IF(AC2025!AP73="","",AC2025!AP73)</f>
        <v/>
      </c>
      <c r="T74" s="227">
        <f>IF(AC2025!AT73="","",AC2025!AT73)</f>
        <v/>
      </c>
    </row>
    <row r="75">
      <c r="B75" s="226">
        <f>IF(AC2025!B74="","",AC2025!B74)</f>
        <v/>
      </c>
      <c r="C75" s="226">
        <f>IF(AC2025!E74="","",AC2025!E74)</f>
        <v/>
      </c>
      <c r="D75" s="227">
        <f>IF(AC2025!H74="","",AC2025!H74)</f>
        <v/>
      </c>
      <c r="E75" s="227">
        <f>IF(AC2025!K74="","",AC2025!K74)</f>
        <v/>
      </c>
      <c r="F75" s="227">
        <f>IF(AC2025!L74="","",AC2025!L74)</f>
        <v/>
      </c>
      <c r="G75" s="227">
        <f>IF(AC2025!P74="","",AC2025!P74)</f>
        <v/>
      </c>
      <c r="H75" s="227">
        <f>IF(AC2025!O74="","",AC2025!O74)</f>
        <v/>
      </c>
      <c r="I75" s="227">
        <f>IF(AC2025!U74="","",AC2025!U74)</f>
        <v/>
      </c>
      <c r="J75" s="227">
        <f>IF(AC2025!X74="","",AC2025!X74)</f>
        <v/>
      </c>
      <c r="K75" s="227">
        <f>IF(AC2025!Y74="","",AC2025!Y74)</f>
        <v/>
      </c>
      <c r="L75" s="227">
        <f>IF(AC2025!Z74="","",AC2025!Z74)</f>
        <v/>
      </c>
      <c r="M75" s="227">
        <f>IF(AC2025!AA74="","",AC2025!AA74)</f>
        <v/>
      </c>
      <c r="N75" s="227">
        <f>IF(AC2025!AD74="","",AC2025!AD74)</f>
        <v/>
      </c>
      <c r="O75" s="227">
        <f>IF(AC2025!AE74="","",AC2025!AE74)</f>
        <v/>
      </c>
      <c r="P75" s="227">
        <f>IF(AC2025!AF74="","",AC2025!AF74)</f>
        <v/>
      </c>
      <c r="Q75" s="226">
        <f>IF(AC2025!AI74="","",AC2025!AI74)</f>
        <v/>
      </c>
      <c r="R75" s="227">
        <f>IF(AC2025!AM74="","",AC2025!AM74)</f>
        <v/>
      </c>
      <c r="S75" s="226">
        <f>IF(AC2025!AP74="","",AC2025!AP74)</f>
        <v/>
      </c>
      <c r="T75" s="227">
        <f>IF(AC2025!AT74="","",AC2025!AT74)</f>
        <v/>
      </c>
    </row>
    <row r="76">
      <c r="B76" s="226">
        <f>IF(AC2025!B75="","",AC2025!B75)</f>
        <v/>
      </c>
      <c r="C76" s="226">
        <f>IF(AC2025!E75="","",AC2025!E75)</f>
        <v/>
      </c>
      <c r="D76" s="227">
        <f>IF(AC2025!H75="","",AC2025!H75)</f>
        <v/>
      </c>
      <c r="E76" s="227">
        <f>IF(AC2025!K75="","",AC2025!K75)</f>
        <v/>
      </c>
      <c r="F76" s="227">
        <f>IF(AC2025!L75="","",AC2025!L75)</f>
        <v/>
      </c>
      <c r="G76" s="227">
        <f>IF(AC2025!P75="","",AC2025!P75)</f>
        <v/>
      </c>
      <c r="H76" s="227">
        <f>IF(AC2025!O75="","",AC2025!O75)</f>
        <v/>
      </c>
      <c r="I76" s="227">
        <f>IF(AC2025!U75="","",AC2025!U75)</f>
        <v/>
      </c>
      <c r="J76" s="227">
        <f>IF(AC2025!X75="","",AC2025!X75)</f>
        <v/>
      </c>
      <c r="K76" s="227">
        <f>IF(AC2025!Y75="","",AC2025!Y75)</f>
        <v/>
      </c>
      <c r="L76" s="227">
        <f>IF(AC2025!Z75="","",AC2025!Z75)</f>
        <v/>
      </c>
      <c r="M76" s="227">
        <f>IF(AC2025!AA75="","",AC2025!AA75)</f>
        <v/>
      </c>
      <c r="N76" s="227">
        <f>IF(AC2025!AD75="","",AC2025!AD75)</f>
        <v/>
      </c>
      <c r="O76" s="227">
        <f>IF(AC2025!AE75="","",AC2025!AE75)</f>
        <v/>
      </c>
      <c r="P76" s="227">
        <f>IF(AC2025!AF75="","",AC2025!AF75)</f>
        <v/>
      </c>
      <c r="Q76" s="226">
        <f>IF(AC2025!AI75="","",AC2025!AI75)</f>
        <v/>
      </c>
      <c r="R76" s="227">
        <f>IF(AC2025!AM75="","",AC2025!AM75)</f>
        <v/>
      </c>
      <c r="S76" s="226">
        <f>IF(AC2025!AP75="","",AC2025!AP75)</f>
        <v/>
      </c>
      <c r="T76" s="227">
        <f>IF(AC2025!AT75="","",AC2025!AT75)</f>
        <v/>
      </c>
    </row>
    <row r="77">
      <c r="B77" s="226">
        <f>IF(AC2025!B76="","",AC2025!B76)</f>
        <v/>
      </c>
      <c r="C77" s="226">
        <f>IF(AC2025!E76="","",AC2025!E76)</f>
        <v/>
      </c>
      <c r="D77" s="227">
        <f>IF(AC2025!H76="","",AC2025!H76)</f>
        <v/>
      </c>
      <c r="E77" s="227">
        <f>IF(AC2025!K76="","",AC2025!K76)</f>
        <v/>
      </c>
      <c r="F77" s="227">
        <f>IF(AC2025!L76="","",AC2025!L76)</f>
        <v/>
      </c>
      <c r="G77" s="227">
        <f>IF(AC2025!P76="","",AC2025!P76)</f>
        <v/>
      </c>
      <c r="H77" s="227">
        <f>IF(AC2025!O76="","",AC2025!O76)</f>
        <v/>
      </c>
      <c r="I77" s="227">
        <f>IF(AC2025!U76="","",AC2025!U76)</f>
        <v/>
      </c>
      <c r="J77" s="227">
        <f>IF(AC2025!X76="","",AC2025!X76)</f>
        <v/>
      </c>
      <c r="K77" s="227">
        <f>IF(AC2025!Y76="","",AC2025!Y76)</f>
        <v/>
      </c>
      <c r="L77" s="227">
        <f>IF(AC2025!Z76="","",AC2025!Z76)</f>
        <v/>
      </c>
      <c r="M77" s="227">
        <f>IF(AC2025!AA76="","",AC2025!AA76)</f>
        <v/>
      </c>
      <c r="N77" s="227">
        <f>IF(AC2025!AD76="","",AC2025!AD76)</f>
        <v/>
      </c>
      <c r="O77" s="227">
        <f>IF(AC2025!AE76="","",AC2025!AE76)</f>
        <v/>
      </c>
      <c r="P77" s="227">
        <f>IF(AC2025!AF76="","",AC2025!AF76)</f>
        <v/>
      </c>
      <c r="Q77" s="226">
        <f>IF(AC2025!AI76="","",AC2025!AI76)</f>
        <v/>
      </c>
      <c r="R77" s="227">
        <f>IF(AC2025!AM76="","",AC2025!AM76)</f>
        <v/>
      </c>
      <c r="S77" s="226">
        <f>IF(AC2025!AP76="","",AC2025!AP76)</f>
        <v/>
      </c>
      <c r="T77" s="227">
        <f>IF(AC2025!AT76="","",AC2025!AT76)</f>
        <v/>
      </c>
    </row>
    <row r="78">
      <c r="B78" s="226">
        <f>IF(AC2025!B77="","",AC2025!B77)</f>
        <v/>
      </c>
      <c r="C78" s="226">
        <f>IF(AC2025!E77="","",AC2025!E77)</f>
        <v/>
      </c>
      <c r="D78" s="227">
        <f>IF(AC2025!H77="","",AC2025!H77)</f>
        <v/>
      </c>
      <c r="E78" s="227">
        <f>IF(AC2025!K77="","",AC2025!K77)</f>
        <v/>
      </c>
      <c r="F78" s="227">
        <f>IF(AC2025!L77="","",AC2025!L77)</f>
        <v/>
      </c>
      <c r="G78" s="227">
        <f>IF(AC2025!P77="","",AC2025!P77)</f>
        <v/>
      </c>
      <c r="H78" s="227">
        <f>IF(AC2025!O77="","",AC2025!O77)</f>
        <v/>
      </c>
      <c r="I78" s="227">
        <f>IF(AC2025!U77="","",AC2025!U77)</f>
        <v/>
      </c>
      <c r="J78" s="227">
        <f>IF(AC2025!X77="","",AC2025!X77)</f>
        <v/>
      </c>
      <c r="K78" s="227">
        <f>IF(AC2025!Y77="","",AC2025!Y77)</f>
        <v/>
      </c>
      <c r="L78" s="227">
        <f>IF(AC2025!Z77="","",AC2025!Z77)</f>
        <v/>
      </c>
      <c r="M78" s="227">
        <f>IF(AC2025!AA77="","",AC2025!AA77)</f>
        <v/>
      </c>
      <c r="N78" s="227">
        <f>IF(AC2025!AD77="","",AC2025!AD77)</f>
        <v/>
      </c>
      <c r="O78" s="227">
        <f>IF(AC2025!AE77="","",AC2025!AE77)</f>
        <v/>
      </c>
      <c r="P78" s="227">
        <f>IF(AC2025!AF77="","",AC2025!AF77)</f>
        <v/>
      </c>
      <c r="Q78" s="226">
        <f>IF(AC2025!AI77="","",AC2025!AI77)</f>
        <v/>
      </c>
      <c r="R78" s="227">
        <f>IF(AC2025!AM77="","",AC2025!AM77)</f>
        <v/>
      </c>
      <c r="S78" s="226">
        <f>IF(AC2025!AP77="","",AC2025!AP77)</f>
        <v/>
      </c>
      <c r="T78" s="227">
        <f>IF(AC2025!AT77="","",AC2025!AT77)</f>
        <v/>
      </c>
    </row>
    <row r="79">
      <c r="B79" s="226">
        <f>IF(AC2025!B78="","",AC2025!B78)</f>
        <v/>
      </c>
      <c r="C79" s="226">
        <f>IF(AC2025!E78="","",AC2025!E78)</f>
        <v/>
      </c>
      <c r="D79" s="227">
        <f>IF(AC2025!H78="","",AC2025!H78)</f>
        <v/>
      </c>
      <c r="E79" s="227">
        <f>IF(AC2025!K78="","",AC2025!K78)</f>
        <v/>
      </c>
      <c r="F79" s="227">
        <f>IF(AC2025!L78="","",AC2025!L78)</f>
        <v/>
      </c>
      <c r="G79" s="227">
        <f>IF(AC2025!P78="","",AC2025!P78)</f>
        <v/>
      </c>
      <c r="H79" s="227">
        <f>IF(AC2025!O78="","",AC2025!O78)</f>
        <v/>
      </c>
      <c r="I79" s="227">
        <f>IF(AC2025!U78="","",AC2025!U78)</f>
        <v/>
      </c>
      <c r="J79" s="227">
        <f>IF(AC2025!X78="","",AC2025!X78)</f>
        <v/>
      </c>
      <c r="K79" s="227">
        <f>IF(AC2025!Y78="","",AC2025!Y78)</f>
        <v/>
      </c>
      <c r="L79" s="227">
        <f>IF(AC2025!Z78="","",AC2025!Z78)</f>
        <v/>
      </c>
      <c r="M79" s="227">
        <f>IF(AC2025!AA78="","",AC2025!AA78)</f>
        <v/>
      </c>
      <c r="N79" s="227">
        <f>IF(AC2025!AD78="","",AC2025!AD78)</f>
        <v/>
      </c>
      <c r="O79" s="227">
        <f>IF(AC2025!AE78="","",AC2025!AE78)</f>
        <v/>
      </c>
      <c r="P79" s="227">
        <f>IF(AC2025!AF78="","",AC2025!AF78)</f>
        <v/>
      </c>
      <c r="Q79" s="226">
        <f>IF(AC2025!AI78="","",AC2025!AI78)</f>
        <v/>
      </c>
      <c r="R79" s="227">
        <f>IF(AC2025!AM78="","",AC2025!AM78)</f>
        <v/>
      </c>
      <c r="S79" s="226">
        <f>IF(AC2025!AP78="","",AC2025!AP78)</f>
        <v/>
      </c>
      <c r="T79" s="227">
        <f>IF(AC2025!AT78="","",AC2025!AT78)</f>
        <v/>
      </c>
    </row>
    <row r="80">
      <c r="B80" s="226">
        <f>IF(AC2025!B79="","",AC2025!B79)</f>
        <v/>
      </c>
      <c r="C80" s="226">
        <f>IF(AC2025!E79="","",AC2025!E79)</f>
        <v/>
      </c>
      <c r="D80" s="227">
        <f>IF(AC2025!H79="","",AC2025!H79)</f>
        <v/>
      </c>
      <c r="E80" s="227">
        <f>IF(AC2025!K79="","",AC2025!K79)</f>
        <v/>
      </c>
      <c r="F80" s="227">
        <f>IF(AC2025!L79="","",AC2025!L79)</f>
        <v/>
      </c>
      <c r="G80" s="227">
        <f>IF(AC2025!P79="","",AC2025!P79)</f>
        <v/>
      </c>
      <c r="H80" s="227">
        <f>IF(AC2025!O79="","",AC2025!O79)</f>
        <v/>
      </c>
      <c r="I80" s="227">
        <f>IF(AC2025!U79="","",AC2025!U79)</f>
        <v/>
      </c>
      <c r="J80" s="227">
        <f>IF(AC2025!X79="","",AC2025!X79)</f>
        <v/>
      </c>
      <c r="K80" s="227">
        <f>IF(AC2025!Y79="","",AC2025!Y79)</f>
        <v/>
      </c>
      <c r="L80" s="227">
        <f>IF(AC2025!Z79="","",AC2025!Z79)</f>
        <v/>
      </c>
      <c r="M80" s="227">
        <f>IF(AC2025!AA79="","",AC2025!AA79)</f>
        <v/>
      </c>
      <c r="N80" s="227">
        <f>IF(AC2025!AD79="","",AC2025!AD79)</f>
        <v/>
      </c>
      <c r="O80" s="227">
        <f>IF(AC2025!AE79="","",AC2025!AE79)</f>
        <v/>
      </c>
      <c r="P80" s="227">
        <f>IF(AC2025!AF79="","",AC2025!AF79)</f>
        <v/>
      </c>
      <c r="Q80" s="226">
        <f>IF(AC2025!AI79="","",AC2025!AI79)</f>
        <v/>
      </c>
      <c r="R80" s="227">
        <f>IF(AC2025!AM79="","",AC2025!AM79)</f>
        <v/>
      </c>
      <c r="S80" s="226">
        <f>IF(AC2025!AP79="","",AC2025!AP79)</f>
        <v/>
      </c>
      <c r="T80" s="227">
        <f>IF(AC2025!AT79="","",AC2025!AT79)</f>
        <v/>
      </c>
    </row>
    <row r="81">
      <c r="B81" s="226">
        <f>IF(AC2025!B80="","",AC2025!B80)</f>
        <v/>
      </c>
      <c r="C81" s="226">
        <f>IF(AC2025!E80="","",AC2025!E80)</f>
        <v/>
      </c>
      <c r="D81" s="227">
        <f>IF(AC2025!H80="","",AC2025!H80)</f>
        <v/>
      </c>
      <c r="E81" s="227">
        <f>IF(AC2025!K80="","",AC2025!K80)</f>
        <v/>
      </c>
      <c r="F81" s="227">
        <f>IF(AC2025!L80="","",AC2025!L80)</f>
        <v/>
      </c>
      <c r="G81" s="227">
        <f>IF(AC2025!P80="","",AC2025!P80)</f>
        <v/>
      </c>
      <c r="H81" s="227">
        <f>IF(AC2025!O80="","",AC2025!O80)</f>
        <v/>
      </c>
      <c r="I81" s="227">
        <f>IF(AC2025!U80="","",AC2025!U80)</f>
        <v/>
      </c>
      <c r="J81" s="227">
        <f>IF(AC2025!X80="","",AC2025!X80)</f>
        <v/>
      </c>
      <c r="K81" s="227">
        <f>IF(AC2025!Y80="","",AC2025!Y80)</f>
        <v/>
      </c>
      <c r="L81" s="227">
        <f>IF(AC2025!Z80="","",AC2025!Z80)</f>
        <v/>
      </c>
      <c r="M81" s="227">
        <f>IF(AC2025!AA80="","",AC2025!AA80)</f>
        <v/>
      </c>
      <c r="N81" s="227">
        <f>IF(AC2025!AD80="","",AC2025!AD80)</f>
        <v/>
      </c>
      <c r="O81" s="227">
        <f>IF(AC2025!AE80="","",AC2025!AE80)</f>
        <v/>
      </c>
      <c r="P81" s="227">
        <f>IF(AC2025!AF80="","",AC2025!AF80)</f>
        <v/>
      </c>
      <c r="Q81" s="226">
        <f>IF(AC2025!AI80="","",AC2025!AI80)</f>
        <v/>
      </c>
      <c r="R81" s="227">
        <f>IF(AC2025!AM80="","",AC2025!AM80)</f>
        <v/>
      </c>
      <c r="S81" s="226">
        <f>IF(AC2025!AP80="","",AC2025!AP80)</f>
        <v/>
      </c>
      <c r="T81" s="227">
        <f>IF(AC2025!AT80="","",AC2025!AT80)</f>
        <v/>
      </c>
    </row>
    <row r="82">
      <c r="B82" s="226">
        <f>IF(AC2025!B81="","",AC2025!B81)</f>
        <v/>
      </c>
      <c r="C82" s="226">
        <f>IF(AC2025!E81="","",AC2025!E81)</f>
        <v/>
      </c>
      <c r="D82" s="227">
        <f>IF(AC2025!H81="","",AC2025!H81)</f>
        <v/>
      </c>
      <c r="E82" s="227">
        <f>IF(AC2025!K81="","",AC2025!K81)</f>
        <v/>
      </c>
      <c r="F82" s="227">
        <f>IF(AC2025!L81="","",AC2025!L81)</f>
        <v/>
      </c>
      <c r="G82" s="227">
        <f>IF(AC2025!P81="","",AC2025!P81)</f>
        <v/>
      </c>
      <c r="H82" s="227">
        <f>IF(AC2025!O81="","",AC2025!O81)</f>
        <v/>
      </c>
      <c r="I82" s="227">
        <f>IF(AC2025!U81="","",AC2025!U81)</f>
        <v/>
      </c>
      <c r="J82" s="227">
        <f>IF(AC2025!X81="","",AC2025!X81)</f>
        <v/>
      </c>
      <c r="K82" s="227">
        <f>IF(AC2025!Y81="","",AC2025!Y81)</f>
        <v/>
      </c>
      <c r="L82" s="227">
        <f>IF(AC2025!Z81="","",AC2025!Z81)</f>
        <v/>
      </c>
      <c r="M82" s="227">
        <f>IF(AC2025!AA81="","",AC2025!AA81)</f>
        <v/>
      </c>
      <c r="N82" s="227">
        <f>IF(AC2025!AD81="","",AC2025!AD81)</f>
        <v/>
      </c>
      <c r="O82" s="227">
        <f>IF(AC2025!AE81="","",AC2025!AE81)</f>
        <v/>
      </c>
      <c r="P82" s="227">
        <f>IF(AC2025!AF81="","",AC2025!AF81)</f>
        <v/>
      </c>
      <c r="Q82" s="226">
        <f>IF(AC2025!AI81="","",AC2025!AI81)</f>
        <v/>
      </c>
      <c r="R82" s="227">
        <f>IF(AC2025!AM81="","",AC2025!AM81)</f>
        <v/>
      </c>
      <c r="S82" s="226">
        <f>IF(AC2025!AP81="","",AC2025!AP81)</f>
        <v/>
      </c>
      <c r="T82" s="227">
        <f>IF(AC2025!AT81="","",AC2025!AT81)</f>
        <v/>
      </c>
    </row>
    <row r="83">
      <c r="B83" s="226">
        <f>IF(AC2025!B82="","",AC2025!B82)</f>
        <v/>
      </c>
      <c r="C83" s="226">
        <f>IF(AC2025!E82="","",AC2025!E82)</f>
        <v/>
      </c>
      <c r="D83" s="227">
        <f>IF(AC2025!H82="","",AC2025!H82)</f>
        <v/>
      </c>
      <c r="E83" s="227">
        <f>IF(AC2025!K82="","",AC2025!K82)</f>
        <v/>
      </c>
      <c r="F83" s="227">
        <f>IF(AC2025!L82="","",AC2025!L82)</f>
        <v/>
      </c>
      <c r="G83" s="227">
        <f>IF(AC2025!P82="","",AC2025!P82)</f>
        <v/>
      </c>
      <c r="H83" s="227">
        <f>IF(AC2025!O82="","",AC2025!O82)</f>
        <v/>
      </c>
      <c r="I83" s="227">
        <f>IF(AC2025!U82="","",AC2025!U82)</f>
        <v/>
      </c>
      <c r="J83" s="227">
        <f>IF(AC2025!X82="","",AC2025!X82)</f>
        <v/>
      </c>
      <c r="K83" s="227">
        <f>IF(AC2025!Y82="","",AC2025!Y82)</f>
        <v/>
      </c>
      <c r="L83" s="227">
        <f>IF(AC2025!Z82="","",AC2025!Z82)</f>
        <v/>
      </c>
      <c r="M83" s="227">
        <f>IF(AC2025!AA82="","",AC2025!AA82)</f>
        <v/>
      </c>
      <c r="N83" s="227">
        <f>IF(AC2025!AD82="","",AC2025!AD82)</f>
        <v/>
      </c>
      <c r="O83" s="227">
        <f>IF(AC2025!AE82="","",AC2025!AE82)</f>
        <v/>
      </c>
      <c r="P83" s="227">
        <f>IF(AC2025!AF82="","",AC2025!AF82)</f>
        <v/>
      </c>
      <c r="Q83" s="226">
        <f>IF(AC2025!AI82="","",AC2025!AI82)</f>
        <v/>
      </c>
      <c r="R83" s="227">
        <f>IF(AC2025!AM82="","",AC2025!AM82)</f>
        <v/>
      </c>
      <c r="S83" s="226">
        <f>IF(AC2025!AP82="","",AC2025!AP82)</f>
        <v/>
      </c>
      <c r="T83" s="227">
        <f>IF(AC2025!AT82="","",AC2025!AT82)</f>
        <v/>
      </c>
    </row>
    <row r="84">
      <c r="B84" s="226">
        <f>IF(AC2025!B83="","",AC2025!B83)</f>
        <v/>
      </c>
      <c r="C84" s="226">
        <f>IF(AC2025!E83="","",AC2025!E83)</f>
        <v/>
      </c>
      <c r="D84" s="227">
        <f>IF(AC2025!H83="","",AC2025!H83)</f>
        <v/>
      </c>
      <c r="E84" s="227">
        <f>IF(AC2025!K83="","",AC2025!K83)</f>
        <v/>
      </c>
      <c r="F84" s="227">
        <f>IF(AC2025!L83="","",AC2025!L83)</f>
        <v/>
      </c>
      <c r="G84" s="227">
        <f>IF(AC2025!P83="","",AC2025!P83)</f>
        <v/>
      </c>
      <c r="H84" s="227">
        <f>IF(AC2025!O83="","",AC2025!O83)</f>
        <v/>
      </c>
      <c r="I84" s="227">
        <f>IF(AC2025!U83="","",AC2025!U83)</f>
        <v/>
      </c>
      <c r="J84" s="227">
        <f>IF(AC2025!X83="","",AC2025!X83)</f>
        <v/>
      </c>
      <c r="K84" s="227">
        <f>IF(AC2025!Y83="","",AC2025!Y83)</f>
        <v/>
      </c>
      <c r="L84" s="227">
        <f>IF(AC2025!Z83="","",AC2025!Z83)</f>
        <v/>
      </c>
      <c r="M84" s="227">
        <f>IF(AC2025!AA83="","",AC2025!AA83)</f>
        <v/>
      </c>
      <c r="N84" s="227">
        <f>IF(AC2025!AD83="","",AC2025!AD83)</f>
        <v/>
      </c>
      <c r="O84" s="227">
        <f>IF(AC2025!AE83="","",AC2025!AE83)</f>
        <v/>
      </c>
      <c r="P84" s="227">
        <f>IF(AC2025!AF83="","",AC2025!AF83)</f>
        <v/>
      </c>
      <c r="Q84" s="226">
        <f>IF(AC2025!AI83="","",AC2025!AI83)</f>
        <v/>
      </c>
      <c r="R84" s="227">
        <f>IF(AC2025!AM83="","",AC2025!AM83)</f>
        <v/>
      </c>
      <c r="S84" s="226">
        <f>IF(AC2025!AP83="","",AC2025!AP83)</f>
        <v/>
      </c>
      <c r="T84" s="227">
        <f>IF(AC2025!AT83="","",AC2025!AT83)</f>
        <v/>
      </c>
    </row>
    <row r="85">
      <c r="B85" s="226">
        <f>IF(AC2025!B84="","",AC2025!B84)</f>
        <v/>
      </c>
      <c r="C85" s="226">
        <f>IF(AC2025!E84="","",AC2025!E84)</f>
        <v/>
      </c>
      <c r="D85" s="227">
        <f>IF(AC2025!H84="","",AC2025!H84)</f>
        <v/>
      </c>
      <c r="E85" s="227">
        <f>IF(AC2025!K84="","",AC2025!K84)</f>
        <v/>
      </c>
      <c r="F85" s="227">
        <f>IF(AC2025!L84="","",AC2025!L84)</f>
        <v/>
      </c>
      <c r="G85" s="227">
        <f>IF(AC2025!P84="","",AC2025!P84)</f>
        <v/>
      </c>
      <c r="H85" s="227">
        <f>IF(AC2025!O84="","",AC2025!O84)</f>
        <v/>
      </c>
      <c r="I85" s="227">
        <f>IF(AC2025!U84="","",AC2025!U84)</f>
        <v/>
      </c>
      <c r="J85" s="227">
        <f>IF(AC2025!X84="","",AC2025!X84)</f>
        <v/>
      </c>
      <c r="K85" s="227">
        <f>IF(AC2025!Y84="","",AC2025!Y84)</f>
        <v/>
      </c>
      <c r="L85" s="227">
        <f>IF(AC2025!Z84="","",AC2025!Z84)</f>
        <v/>
      </c>
      <c r="M85" s="227">
        <f>IF(AC2025!AA84="","",AC2025!AA84)</f>
        <v/>
      </c>
      <c r="N85" s="227">
        <f>IF(AC2025!AD84="","",AC2025!AD84)</f>
        <v/>
      </c>
      <c r="O85" s="227">
        <f>IF(AC2025!AE84="","",AC2025!AE84)</f>
        <v/>
      </c>
      <c r="P85" s="227">
        <f>IF(AC2025!AF84="","",AC2025!AF84)</f>
        <v/>
      </c>
      <c r="Q85" s="226">
        <f>IF(AC2025!AI84="","",AC2025!AI84)</f>
        <v/>
      </c>
      <c r="R85" s="227">
        <f>IF(AC2025!AM84="","",AC2025!AM84)</f>
        <v/>
      </c>
      <c r="S85" s="226">
        <f>IF(AC2025!AP84="","",AC2025!AP84)</f>
        <v/>
      </c>
      <c r="T85" s="227">
        <f>IF(AC2025!AT84="","",AC2025!AT84)</f>
        <v/>
      </c>
    </row>
    <row r="86">
      <c r="B86" s="226">
        <f>IF(AC2025!B85="","",AC2025!B85)</f>
        <v/>
      </c>
      <c r="C86" s="226">
        <f>IF(AC2025!E85="","",AC2025!E85)</f>
        <v/>
      </c>
      <c r="D86" s="227">
        <f>IF(AC2025!H85="","",AC2025!H85)</f>
        <v/>
      </c>
      <c r="E86" s="227">
        <f>IF(AC2025!K85="","",AC2025!K85)</f>
        <v/>
      </c>
      <c r="F86" s="227">
        <f>IF(AC2025!L85="","",AC2025!L85)</f>
        <v/>
      </c>
      <c r="G86" s="227">
        <f>IF(AC2025!P85="","",AC2025!P85)</f>
        <v/>
      </c>
      <c r="H86" s="227">
        <f>IF(AC2025!O85="","",AC2025!O85)</f>
        <v/>
      </c>
      <c r="I86" s="227">
        <f>IF(AC2025!U85="","",AC2025!U85)</f>
        <v/>
      </c>
      <c r="J86" s="227">
        <f>IF(AC2025!X85="","",AC2025!X85)</f>
        <v/>
      </c>
      <c r="K86" s="227">
        <f>IF(AC2025!Y85="","",AC2025!Y85)</f>
        <v/>
      </c>
      <c r="L86" s="227">
        <f>IF(AC2025!Z85="","",AC2025!Z85)</f>
        <v/>
      </c>
      <c r="M86" s="227">
        <f>IF(AC2025!AA85="","",AC2025!AA85)</f>
        <v/>
      </c>
      <c r="N86" s="227">
        <f>IF(AC2025!AD85="","",AC2025!AD85)</f>
        <v/>
      </c>
      <c r="O86" s="227">
        <f>IF(AC2025!AE85="","",AC2025!AE85)</f>
        <v/>
      </c>
      <c r="P86" s="227">
        <f>IF(AC2025!AF85="","",AC2025!AF85)</f>
        <v/>
      </c>
      <c r="Q86" s="226">
        <f>IF(AC2025!AI85="","",AC2025!AI85)</f>
        <v/>
      </c>
      <c r="R86" s="227">
        <f>IF(AC2025!AM85="","",AC2025!AM85)</f>
        <v/>
      </c>
      <c r="S86" s="226">
        <f>IF(AC2025!AP85="","",AC2025!AP85)</f>
        <v/>
      </c>
      <c r="T86" s="227">
        <f>IF(AC2025!AT85="","",AC2025!AT85)</f>
        <v/>
      </c>
    </row>
    <row r="87">
      <c r="B87" s="226">
        <f>IF(AC2025!B86="","",AC2025!B86)</f>
        <v/>
      </c>
      <c r="C87" s="226">
        <f>IF(AC2025!E86="","",AC2025!E86)</f>
        <v/>
      </c>
      <c r="D87" s="227">
        <f>IF(AC2025!H86="","",AC2025!H86)</f>
        <v/>
      </c>
      <c r="E87" s="227">
        <f>IF(AC2025!K86="","",AC2025!K86)</f>
        <v/>
      </c>
      <c r="F87" s="227">
        <f>IF(AC2025!L86="","",AC2025!L86)</f>
        <v/>
      </c>
      <c r="G87" s="227">
        <f>IF(AC2025!P86="","",AC2025!P86)</f>
        <v/>
      </c>
      <c r="H87" s="227">
        <f>IF(AC2025!O86="","",AC2025!O86)</f>
        <v/>
      </c>
      <c r="I87" s="227">
        <f>IF(AC2025!U86="","",AC2025!U86)</f>
        <v/>
      </c>
      <c r="J87" s="227">
        <f>IF(AC2025!X86="","",AC2025!X86)</f>
        <v/>
      </c>
      <c r="K87" s="227">
        <f>IF(AC2025!Y86="","",AC2025!Y86)</f>
        <v/>
      </c>
      <c r="L87" s="227">
        <f>IF(AC2025!Z86="","",AC2025!Z86)</f>
        <v/>
      </c>
      <c r="M87" s="227">
        <f>IF(AC2025!AA86="","",AC2025!AA86)</f>
        <v/>
      </c>
      <c r="N87" s="227">
        <f>IF(AC2025!AD86="","",AC2025!AD86)</f>
        <v/>
      </c>
      <c r="O87" s="227">
        <f>IF(AC2025!AE86="","",AC2025!AE86)</f>
        <v/>
      </c>
      <c r="P87" s="227">
        <f>IF(AC2025!AF86="","",AC2025!AF86)</f>
        <v/>
      </c>
      <c r="Q87" s="226">
        <f>IF(AC2025!AI86="","",AC2025!AI86)</f>
        <v/>
      </c>
      <c r="R87" s="227">
        <f>IF(AC2025!AM86="","",AC2025!AM86)</f>
        <v/>
      </c>
      <c r="S87" s="226">
        <f>IF(AC2025!AP86="","",AC2025!AP86)</f>
        <v/>
      </c>
      <c r="T87" s="227">
        <f>IF(AC2025!AT86="","",AC2025!AT86)</f>
        <v/>
      </c>
    </row>
    <row r="88">
      <c r="B88" s="226">
        <f>IF(AC2025!B87="","",AC2025!B87)</f>
        <v/>
      </c>
      <c r="C88" s="226">
        <f>IF(AC2025!E87="","",AC2025!E87)</f>
        <v/>
      </c>
      <c r="D88" s="227">
        <f>IF(AC2025!H87="","",AC2025!H87)</f>
        <v/>
      </c>
      <c r="E88" s="227">
        <f>IF(AC2025!K87="","",AC2025!K87)</f>
        <v/>
      </c>
      <c r="F88" s="227">
        <f>IF(AC2025!L87="","",AC2025!L87)</f>
        <v/>
      </c>
      <c r="G88" s="227">
        <f>IF(AC2025!P87="","",AC2025!P87)</f>
        <v/>
      </c>
      <c r="H88" s="227">
        <f>IF(AC2025!O87="","",AC2025!O87)</f>
        <v/>
      </c>
      <c r="I88" s="227">
        <f>IF(AC2025!U87="","",AC2025!U87)</f>
        <v/>
      </c>
      <c r="J88" s="227">
        <f>IF(AC2025!X87="","",AC2025!X87)</f>
        <v/>
      </c>
      <c r="K88" s="227">
        <f>IF(AC2025!Y87="","",AC2025!Y87)</f>
        <v/>
      </c>
      <c r="L88" s="227">
        <f>IF(AC2025!Z87="","",AC2025!Z87)</f>
        <v/>
      </c>
      <c r="M88" s="227">
        <f>IF(AC2025!AA87="","",AC2025!AA87)</f>
        <v/>
      </c>
      <c r="N88" s="227">
        <f>IF(AC2025!AD87="","",AC2025!AD87)</f>
        <v/>
      </c>
      <c r="O88" s="227">
        <f>IF(AC2025!AE87="","",AC2025!AE87)</f>
        <v/>
      </c>
      <c r="P88" s="227">
        <f>IF(AC2025!AF87="","",AC2025!AF87)</f>
        <v/>
      </c>
      <c r="Q88" s="226">
        <f>IF(AC2025!AI87="","",AC2025!AI87)</f>
        <v/>
      </c>
      <c r="R88" s="227">
        <f>IF(AC2025!AM87="","",AC2025!AM87)</f>
        <v/>
      </c>
      <c r="S88" s="226">
        <f>IF(AC2025!AP87="","",AC2025!AP87)</f>
        <v/>
      </c>
      <c r="T88" s="227">
        <f>IF(AC2025!AT87="","",AC2025!AT87)</f>
        <v/>
      </c>
    </row>
    <row r="89">
      <c r="B89" s="226">
        <f>IF(AC2025!B88="","",AC2025!B88)</f>
        <v/>
      </c>
      <c r="C89" s="226">
        <f>IF(AC2025!E88="","",AC2025!E88)</f>
        <v/>
      </c>
      <c r="D89" s="227">
        <f>IF(AC2025!H88="","",AC2025!H88)</f>
        <v/>
      </c>
      <c r="E89" s="227">
        <f>IF(AC2025!K88="","",AC2025!K88)</f>
        <v/>
      </c>
      <c r="F89" s="227">
        <f>IF(AC2025!L88="","",AC2025!L88)</f>
        <v/>
      </c>
      <c r="G89" s="227">
        <f>IF(AC2025!P88="","",AC2025!P88)</f>
        <v/>
      </c>
      <c r="H89" s="227">
        <f>IF(AC2025!O88="","",AC2025!O88)</f>
        <v/>
      </c>
      <c r="I89" s="227">
        <f>IF(AC2025!U88="","",AC2025!U88)</f>
        <v/>
      </c>
      <c r="J89" s="227">
        <f>IF(AC2025!X88="","",AC2025!X88)</f>
        <v/>
      </c>
      <c r="K89" s="227">
        <f>IF(AC2025!Y88="","",AC2025!Y88)</f>
        <v/>
      </c>
      <c r="L89" s="227">
        <f>IF(AC2025!Z88="","",AC2025!Z88)</f>
        <v/>
      </c>
      <c r="M89" s="227">
        <f>IF(AC2025!AA88="","",AC2025!AA88)</f>
        <v/>
      </c>
      <c r="N89" s="227">
        <f>IF(AC2025!AD88="","",AC2025!AD88)</f>
        <v/>
      </c>
      <c r="O89" s="227">
        <f>IF(AC2025!AE88="","",AC2025!AE88)</f>
        <v/>
      </c>
      <c r="P89" s="227">
        <f>IF(AC2025!AF88="","",AC2025!AF88)</f>
        <v/>
      </c>
      <c r="Q89" s="226">
        <f>IF(AC2025!AI88="","",AC2025!AI88)</f>
        <v/>
      </c>
      <c r="R89" s="227">
        <f>IF(AC2025!AM88="","",AC2025!AM88)</f>
        <v/>
      </c>
      <c r="S89" s="226">
        <f>IF(AC2025!AP88="","",AC2025!AP88)</f>
        <v/>
      </c>
      <c r="T89" s="227">
        <f>IF(AC2025!AT88="","",AC2025!AT88)</f>
        <v/>
      </c>
    </row>
    <row r="90">
      <c r="B90" s="226">
        <f>IF(AC2025!B89="","",AC2025!B89)</f>
        <v/>
      </c>
      <c r="C90" s="226">
        <f>IF(AC2025!E89="","",AC2025!E89)</f>
        <v/>
      </c>
      <c r="D90" s="227">
        <f>IF(AC2025!H89="","",AC2025!H89)</f>
        <v/>
      </c>
      <c r="E90" s="227">
        <f>IF(AC2025!K89="","",AC2025!K89)</f>
        <v/>
      </c>
      <c r="F90" s="227">
        <f>IF(AC2025!L89="","",AC2025!L89)</f>
        <v/>
      </c>
      <c r="G90" s="227">
        <f>IF(AC2025!P89="","",AC2025!P89)</f>
        <v/>
      </c>
      <c r="H90" s="227">
        <f>IF(AC2025!O89="","",AC2025!O89)</f>
        <v/>
      </c>
      <c r="I90" s="227">
        <f>IF(AC2025!U89="","",AC2025!U89)</f>
        <v/>
      </c>
      <c r="J90" s="227">
        <f>IF(AC2025!X89="","",AC2025!X89)</f>
        <v/>
      </c>
      <c r="K90" s="227">
        <f>IF(AC2025!Y89="","",AC2025!Y89)</f>
        <v/>
      </c>
      <c r="L90" s="227">
        <f>IF(AC2025!Z89="","",AC2025!Z89)</f>
        <v/>
      </c>
      <c r="M90" s="227">
        <f>IF(AC2025!AA89="","",AC2025!AA89)</f>
        <v/>
      </c>
      <c r="N90" s="227">
        <f>IF(AC2025!AD89="","",AC2025!AD89)</f>
        <v/>
      </c>
      <c r="O90" s="227">
        <f>IF(AC2025!AE89="","",AC2025!AE89)</f>
        <v/>
      </c>
      <c r="P90" s="227">
        <f>IF(AC2025!AF89="","",AC2025!AF89)</f>
        <v/>
      </c>
      <c r="Q90" s="226">
        <f>IF(AC2025!AI89="","",AC2025!AI89)</f>
        <v/>
      </c>
      <c r="R90" s="227">
        <f>IF(AC2025!AM89="","",AC2025!AM89)</f>
        <v/>
      </c>
      <c r="S90" s="226">
        <f>IF(AC2025!AP89="","",AC2025!AP89)</f>
        <v/>
      </c>
      <c r="T90" s="227">
        <f>IF(AC2025!AT89="","",AC2025!AT89)</f>
        <v/>
      </c>
    </row>
    <row r="91">
      <c r="B91" s="226">
        <f>IF(AC2025!B90="","",AC2025!B90)</f>
        <v/>
      </c>
      <c r="C91" s="226">
        <f>IF(AC2025!E90="","",AC2025!E90)</f>
        <v/>
      </c>
      <c r="D91" s="227">
        <f>IF(AC2025!H90="","",AC2025!H90)</f>
        <v/>
      </c>
      <c r="E91" s="227">
        <f>IF(AC2025!K90="","",AC2025!K90)</f>
        <v/>
      </c>
      <c r="F91" s="227">
        <f>IF(AC2025!L90="","",AC2025!L90)</f>
        <v/>
      </c>
      <c r="G91" s="227">
        <f>IF(AC2025!P90="","",AC2025!P90)</f>
        <v/>
      </c>
      <c r="H91" s="227">
        <f>IF(AC2025!O90="","",AC2025!O90)</f>
        <v/>
      </c>
      <c r="I91" s="227">
        <f>IF(AC2025!U90="","",AC2025!U90)</f>
        <v/>
      </c>
      <c r="J91" s="227">
        <f>IF(AC2025!X90="","",AC2025!X90)</f>
        <v/>
      </c>
      <c r="K91" s="227">
        <f>IF(AC2025!Y90="","",AC2025!Y90)</f>
        <v/>
      </c>
      <c r="L91" s="227">
        <f>IF(AC2025!Z90="","",AC2025!Z90)</f>
        <v/>
      </c>
      <c r="M91" s="227">
        <f>IF(AC2025!AA90="","",AC2025!AA90)</f>
        <v/>
      </c>
      <c r="N91" s="227">
        <f>IF(AC2025!AD90="","",AC2025!AD90)</f>
        <v/>
      </c>
      <c r="O91" s="227">
        <f>IF(AC2025!AE90="","",AC2025!AE90)</f>
        <v/>
      </c>
      <c r="P91" s="227">
        <f>IF(AC2025!AF90="","",AC2025!AF90)</f>
        <v/>
      </c>
      <c r="Q91" s="226">
        <f>IF(AC2025!AI90="","",AC2025!AI90)</f>
        <v/>
      </c>
      <c r="R91" s="227">
        <f>IF(AC2025!AM90="","",AC2025!AM90)</f>
        <v/>
      </c>
      <c r="S91" s="226">
        <f>IF(AC2025!AP90="","",AC2025!AP90)</f>
        <v/>
      </c>
      <c r="T91" s="227">
        <f>IF(AC2025!AT90="","",AC2025!AT90)</f>
        <v/>
      </c>
    </row>
    <row r="92">
      <c r="B92" s="226">
        <f>IF(AC2025!B91="","",AC2025!B91)</f>
        <v/>
      </c>
      <c r="C92" s="226">
        <f>IF(AC2025!E91="","",AC2025!E91)</f>
        <v/>
      </c>
      <c r="D92" s="227">
        <f>IF(AC2025!H91="","",AC2025!H91)</f>
        <v/>
      </c>
      <c r="E92" s="227">
        <f>IF(AC2025!K91="","",AC2025!K91)</f>
        <v/>
      </c>
      <c r="F92" s="227">
        <f>IF(AC2025!L91="","",AC2025!L91)</f>
        <v/>
      </c>
      <c r="G92" s="227">
        <f>IF(AC2025!P91="","",AC2025!P91)</f>
        <v/>
      </c>
      <c r="H92" s="227">
        <f>IF(AC2025!O91="","",AC2025!O91)</f>
        <v/>
      </c>
      <c r="I92" s="227">
        <f>IF(AC2025!U91="","",AC2025!U91)</f>
        <v/>
      </c>
      <c r="J92" s="227">
        <f>IF(AC2025!X91="","",AC2025!X91)</f>
        <v/>
      </c>
      <c r="K92" s="227">
        <f>IF(AC2025!Y91="","",AC2025!Y91)</f>
        <v/>
      </c>
      <c r="L92" s="227">
        <f>IF(AC2025!Z91="","",AC2025!Z91)</f>
        <v/>
      </c>
      <c r="M92" s="227">
        <f>IF(AC2025!AA91="","",AC2025!AA91)</f>
        <v/>
      </c>
      <c r="N92" s="227">
        <f>IF(AC2025!AD91="","",AC2025!AD91)</f>
        <v/>
      </c>
      <c r="O92" s="227">
        <f>IF(AC2025!AE91="","",AC2025!AE91)</f>
        <v/>
      </c>
      <c r="P92" s="227">
        <f>IF(AC2025!AF91="","",AC2025!AF91)</f>
        <v/>
      </c>
      <c r="Q92" s="226">
        <f>IF(AC2025!AI91="","",AC2025!AI91)</f>
        <v/>
      </c>
      <c r="R92" s="227">
        <f>IF(AC2025!AM91="","",AC2025!AM91)</f>
        <v/>
      </c>
      <c r="S92" s="226">
        <f>IF(AC2025!AP91="","",AC2025!AP91)</f>
        <v/>
      </c>
      <c r="T92" s="227">
        <f>IF(AC2025!AT91="","",AC2025!AT91)</f>
        <v/>
      </c>
    </row>
    <row r="93">
      <c r="B93" s="226">
        <f>IF(AC2025!B92="","",AC2025!B92)</f>
        <v/>
      </c>
      <c r="C93" s="226">
        <f>IF(AC2025!E92="","",AC2025!E92)</f>
        <v/>
      </c>
      <c r="D93" s="227">
        <f>IF(AC2025!H92="","",AC2025!H92)</f>
        <v/>
      </c>
      <c r="E93" s="227">
        <f>IF(AC2025!K92="","",AC2025!K92)</f>
        <v/>
      </c>
      <c r="F93" s="227">
        <f>IF(AC2025!L92="","",AC2025!L92)</f>
        <v/>
      </c>
      <c r="G93" s="227">
        <f>IF(AC2025!P92="","",AC2025!P92)</f>
        <v/>
      </c>
      <c r="H93" s="227">
        <f>IF(AC2025!O92="","",AC2025!O92)</f>
        <v/>
      </c>
      <c r="I93" s="227">
        <f>IF(AC2025!U92="","",AC2025!U92)</f>
        <v/>
      </c>
      <c r="J93" s="227">
        <f>IF(AC2025!X92="","",AC2025!X92)</f>
        <v/>
      </c>
      <c r="K93" s="227">
        <f>IF(AC2025!Y92="","",AC2025!Y92)</f>
        <v/>
      </c>
      <c r="L93" s="227">
        <f>IF(AC2025!Z92="","",AC2025!Z92)</f>
        <v/>
      </c>
      <c r="M93" s="227">
        <f>IF(AC2025!AA92="","",AC2025!AA92)</f>
        <v/>
      </c>
      <c r="N93" s="227">
        <f>IF(AC2025!AD92="","",AC2025!AD92)</f>
        <v/>
      </c>
      <c r="O93" s="227">
        <f>IF(AC2025!AE92="","",AC2025!AE92)</f>
        <v/>
      </c>
      <c r="P93" s="227">
        <f>IF(AC2025!AF92="","",AC2025!AF92)</f>
        <v/>
      </c>
      <c r="Q93" s="226">
        <f>IF(AC2025!AI92="","",AC2025!AI92)</f>
        <v/>
      </c>
      <c r="R93" s="227">
        <f>IF(AC2025!AM92="","",AC2025!AM92)</f>
        <v/>
      </c>
      <c r="S93" s="226">
        <f>IF(AC2025!AP92="","",AC2025!AP92)</f>
        <v/>
      </c>
      <c r="T93" s="227">
        <f>IF(AC2025!AT92="","",AC2025!AT92)</f>
        <v/>
      </c>
    </row>
    <row r="94">
      <c r="B94" s="226">
        <f>IF(AC2025!B93="","",AC2025!B93)</f>
        <v/>
      </c>
      <c r="C94" s="226">
        <f>IF(AC2025!E93="","",AC2025!E93)</f>
        <v/>
      </c>
      <c r="D94" s="227">
        <f>IF(AC2025!H93="","",AC2025!H93)</f>
        <v/>
      </c>
      <c r="E94" s="227">
        <f>IF(AC2025!K93="","",AC2025!K93)</f>
        <v/>
      </c>
      <c r="F94" s="227">
        <f>IF(AC2025!L93="","",AC2025!L93)</f>
        <v/>
      </c>
      <c r="G94" s="227">
        <f>IF(AC2025!P93="","",AC2025!P93)</f>
        <v/>
      </c>
      <c r="H94" s="227">
        <f>IF(AC2025!O93="","",AC2025!O93)</f>
        <v/>
      </c>
      <c r="I94" s="227">
        <f>IF(AC2025!U93="","",AC2025!U93)</f>
        <v/>
      </c>
      <c r="J94" s="227">
        <f>IF(AC2025!X93="","",AC2025!X93)</f>
        <v/>
      </c>
      <c r="K94" s="227">
        <f>IF(AC2025!Y93="","",AC2025!Y93)</f>
        <v/>
      </c>
      <c r="L94" s="227">
        <f>IF(AC2025!Z93="","",AC2025!Z93)</f>
        <v/>
      </c>
      <c r="M94" s="227">
        <f>IF(AC2025!AA93="","",AC2025!AA93)</f>
        <v/>
      </c>
      <c r="N94" s="227">
        <f>IF(AC2025!AD93="","",AC2025!AD93)</f>
        <v/>
      </c>
      <c r="O94" s="227">
        <f>IF(AC2025!AE93="","",AC2025!AE93)</f>
        <v/>
      </c>
      <c r="P94" s="227">
        <f>IF(AC2025!AF93="","",AC2025!AF93)</f>
        <v/>
      </c>
      <c r="Q94" s="226">
        <f>IF(AC2025!AI93="","",AC2025!AI93)</f>
        <v/>
      </c>
      <c r="R94" s="227">
        <f>IF(AC2025!AM93="","",AC2025!AM93)</f>
        <v/>
      </c>
      <c r="S94" s="226">
        <f>IF(AC2025!AP93="","",AC2025!AP93)</f>
        <v/>
      </c>
      <c r="T94" s="227">
        <f>IF(AC2025!AT93="","",AC2025!AT93)</f>
        <v/>
      </c>
    </row>
    <row r="95">
      <c r="B95" s="226">
        <f>IF(AC2025!B94="","",AC2025!B94)</f>
        <v/>
      </c>
      <c r="C95" s="226">
        <f>IF(AC2025!E94="","",AC2025!E94)</f>
        <v/>
      </c>
      <c r="D95" s="227">
        <f>IF(AC2025!H94="","",AC2025!H94)</f>
        <v/>
      </c>
      <c r="E95" s="227">
        <f>IF(AC2025!K94="","",AC2025!K94)</f>
        <v/>
      </c>
      <c r="F95" s="227">
        <f>IF(AC2025!L94="","",AC2025!L94)</f>
        <v/>
      </c>
      <c r="G95" s="227">
        <f>IF(AC2025!P94="","",AC2025!P94)</f>
        <v/>
      </c>
      <c r="H95" s="227">
        <f>IF(AC2025!O94="","",AC2025!O94)</f>
        <v/>
      </c>
      <c r="I95" s="227">
        <f>IF(AC2025!U94="","",AC2025!U94)</f>
        <v/>
      </c>
      <c r="J95" s="227">
        <f>IF(AC2025!X94="","",AC2025!X94)</f>
        <v/>
      </c>
      <c r="K95" s="227">
        <f>IF(AC2025!Y94="","",AC2025!Y94)</f>
        <v/>
      </c>
      <c r="L95" s="227">
        <f>IF(AC2025!Z94="","",AC2025!Z94)</f>
        <v/>
      </c>
      <c r="M95" s="227">
        <f>IF(AC2025!AA94="","",AC2025!AA94)</f>
        <v/>
      </c>
      <c r="N95" s="227">
        <f>IF(AC2025!AD94="","",AC2025!AD94)</f>
        <v/>
      </c>
      <c r="O95" s="227">
        <f>IF(AC2025!AE94="","",AC2025!AE94)</f>
        <v/>
      </c>
      <c r="P95" s="227">
        <f>IF(AC2025!AF94="","",AC2025!AF94)</f>
        <v/>
      </c>
      <c r="Q95" s="226">
        <f>IF(AC2025!AI94="","",AC2025!AI94)</f>
        <v/>
      </c>
      <c r="R95" s="227">
        <f>IF(AC2025!AM94="","",AC2025!AM94)</f>
        <v/>
      </c>
      <c r="S95" s="226">
        <f>IF(AC2025!AP94="","",AC2025!AP94)</f>
        <v/>
      </c>
      <c r="T95" s="227">
        <f>IF(AC2025!AT94="","",AC2025!AT94)</f>
        <v/>
      </c>
    </row>
    <row r="96">
      <c r="B96" s="226">
        <f>IF(AC2025!B95="","",AC2025!B95)</f>
        <v/>
      </c>
      <c r="C96" s="226">
        <f>IF(AC2025!E95="","",AC2025!E95)</f>
        <v/>
      </c>
      <c r="D96" s="227">
        <f>IF(AC2025!H95="","",AC2025!H95)</f>
        <v/>
      </c>
      <c r="E96" s="227">
        <f>IF(AC2025!K95="","",AC2025!K95)</f>
        <v/>
      </c>
      <c r="F96" s="227">
        <f>IF(AC2025!L95="","",AC2025!L95)</f>
        <v/>
      </c>
      <c r="G96" s="227">
        <f>IF(AC2025!P95="","",AC2025!P95)</f>
        <v/>
      </c>
      <c r="H96" s="227">
        <f>IF(AC2025!O95="","",AC2025!O95)</f>
        <v/>
      </c>
      <c r="I96" s="227">
        <f>IF(AC2025!U95="","",AC2025!U95)</f>
        <v/>
      </c>
      <c r="J96" s="227">
        <f>IF(AC2025!X95="","",AC2025!X95)</f>
        <v/>
      </c>
      <c r="K96" s="227">
        <f>IF(AC2025!Y95="","",AC2025!Y95)</f>
        <v/>
      </c>
      <c r="L96" s="227">
        <f>IF(AC2025!Z95="","",AC2025!Z95)</f>
        <v/>
      </c>
      <c r="M96" s="227">
        <f>IF(AC2025!AA95="","",AC2025!AA95)</f>
        <v/>
      </c>
      <c r="N96" s="227">
        <f>IF(AC2025!AD95="","",AC2025!AD95)</f>
        <v/>
      </c>
      <c r="O96" s="227">
        <f>IF(AC2025!AE95="","",AC2025!AE95)</f>
        <v/>
      </c>
      <c r="P96" s="227">
        <f>IF(AC2025!AF95="","",AC2025!AF95)</f>
        <v/>
      </c>
      <c r="Q96" s="226">
        <f>IF(AC2025!AI95="","",AC2025!AI95)</f>
        <v/>
      </c>
      <c r="R96" s="227">
        <f>IF(AC2025!AM95="","",AC2025!AM95)</f>
        <v/>
      </c>
      <c r="S96" s="226">
        <f>IF(AC2025!AP95="","",AC2025!AP95)</f>
        <v/>
      </c>
      <c r="T96" s="227">
        <f>IF(AC2025!AT95="","",AC2025!AT95)</f>
        <v/>
      </c>
    </row>
    <row r="97">
      <c r="B97" s="226">
        <f>IF(AC2025!B96="","",AC2025!B96)</f>
        <v/>
      </c>
      <c r="C97" s="226">
        <f>IF(AC2025!E96="","",AC2025!E96)</f>
        <v/>
      </c>
      <c r="D97" s="227">
        <f>IF(AC2025!H96="","",AC2025!H96)</f>
        <v/>
      </c>
      <c r="E97" s="227">
        <f>IF(AC2025!K96="","",AC2025!K96)</f>
        <v/>
      </c>
      <c r="F97" s="227">
        <f>IF(AC2025!L96="","",AC2025!L96)</f>
        <v/>
      </c>
      <c r="G97" s="227">
        <f>IF(AC2025!P96="","",AC2025!P96)</f>
        <v/>
      </c>
      <c r="H97" s="227">
        <f>IF(AC2025!O96="","",AC2025!O96)</f>
        <v/>
      </c>
      <c r="I97" s="227">
        <f>IF(AC2025!U96="","",AC2025!U96)</f>
        <v/>
      </c>
      <c r="J97" s="227">
        <f>IF(AC2025!X96="","",AC2025!X96)</f>
        <v/>
      </c>
      <c r="K97" s="227">
        <f>IF(AC2025!Y96="","",AC2025!Y96)</f>
        <v/>
      </c>
      <c r="L97" s="227">
        <f>IF(AC2025!Z96="","",AC2025!Z96)</f>
        <v/>
      </c>
      <c r="M97" s="227">
        <f>IF(AC2025!AA96="","",AC2025!AA96)</f>
        <v/>
      </c>
      <c r="N97" s="227">
        <f>IF(AC2025!AD96="","",AC2025!AD96)</f>
        <v/>
      </c>
      <c r="O97" s="227">
        <f>IF(AC2025!AE96="","",AC2025!AE96)</f>
        <v/>
      </c>
      <c r="P97" s="227">
        <f>IF(AC2025!AF96="","",AC2025!AF96)</f>
        <v/>
      </c>
      <c r="Q97" s="226">
        <f>IF(AC2025!AI96="","",AC2025!AI96)</f>
        <v/>
      </c>
      <c r="R97" s="227">
        <f>IF(AC2025!AM96="","",AC2025!AM96)</f>
        <v/>
      </c>
      <c r="S97" s="226">
        <f>IF(AC2025!AP96="","",AC2025!AP96)</f>
        <v/>
      </c>
      <c r="T97" s="227">
        <f>IF(AC2025!AT96="","",AC2025!AT96)</f>
        <v/>
      </c>
    </row>
    <row r="98">
      <c r="B98" s="226">
        <f>IF(AC2025!B97="","",AC2025!B97)</f>
        <v/>
      </c>
      <c r="C98" s="226">
        <f>IF(AC2025!E97="","",AC2025!E97)</f>
        <v/>
      </c>
      <c r="D98" s="227">
        <f>IF(AC2025!H97="","",AC2025!H97)</f>
        <v/>
      </c>
      <c r="E98" s="227">
        <f>IF(AC2025!K97="","",AC2025!K97)</f>
        <v/>
      </c>
      <c r="F98" s="227">
        <f>IF(AC2025!L97="","",AC2025!L97)</f>
        <v/>
      </c>
      <c r="G98" s="227">
        <f>IF(AC2025!P97="","",AC2025!P97)</f>
        <v/>
      </c>
      <c r="H98" s="227">
        <f>IF(AC2025!O97="","",AC2025!O97)</f>
        <v/>
      </c>
      <c r="I98" s="227">
        <f>IF(AC2025!U97="","",AC2025!U97)</f>
        <v/>
      </c>
      <c r="J98" s="227">
        <f>IF(AC2025!X97="","",AC2025!X97)</f>
        <v/>
      </c>
      <c r="K98" s="227">
        <f>IF(AC2025!Y97="","",AC2025!Y97)</f>
        <v/>
      </c>
      <c r="L98" s="227">
        <f>IF(AC2025!Z97="","",AC2025!Z97)</f>
        <v/>
      </c>
      <c r="M98" s="227">
        <f>IF(AC2025!AA97="","",AC2025!AA97)</f>
        <v/>
      </c>
      <c r="N98" s="227">
        <f>IF(AC2025!AD97="","",AC2025!AD97)</f>
        <v/>
      </c>
      <c r="O98" s="227">
        <f>IF(AC2025!AE97="","",AC2025!AE97)</f>
        <v/>
      </c>
      <c r="P98" s="227">
        <f>IF(AC2025!AF97="","",AC2025!AF97)</f>
        <v/>
      </c>
      <c r="Q98" s="226">
        <f>IF(AC2025!AI97="","",AC2025!AI97)</f>
        <v/>
      </c>
      <c r="R98" s="227">
        <f>IF(AC2025!AM97="","",AC2025!AM97)</f>
        <v/>
      </c>
      <c r="S98" s="226">
        <f>IF(AC2025!AP97="","",AC2025!AP97)</f>
        <v/>
      </c>
      <c r="T98" s="227">
        <f>IF(AC2025!AT97="","",AC2025!AT97)</f>
        <v/>
      </c>
    </row>
    <row r="99">
      <c r="B99" s="226">
        <f>IF(AC2025!B98="","",AC2025!B98)</f>
        <v/>
      </c>
      <c r="C99" s="226">
        <f>IF(AC2025!E98="","",AC2025!E98)</f>
        <v/>
      </c>
      <c r="D99" s="227">
        <f>IF(AC2025!H98="","",AC2025!H98)</f>
        <v/>
      </c>
      <c r="E99" s="227">
        <f>IF(AC2025!K98="","",AC2025!K98)</f>
        <v/>
      </c>
      <c r="F99" s="227">
        <f>IF(AC2025!L98="","",AC2025!L98)</f>
        <v/>
      </c>
      <c r="G99" s="227">
        <f>IF(AC2025!P98="","",AC2025!P98)</f>
        <v/>
      </c>
      <c r="H99" s="227">
        <f>IF(AC2025!O98="","",AC2025!O98)</f>
        <v/>
      </c>
      <c r="I99" s="227">
        <f>IF(AC2025!U98="","",AC2025!U98)</f>
        <v/>
      </c>
      <c r="J99" s="227">
        <f>IF(AC2025!X98="","",AC2025!X98)</f>
        <v/>
      </c>
      <c r="K99" s="227">
        <f>IF(AC2025!Y98="","",AC2025!Y98)</f>
        <v/>
      </c>
      <c r="L99" s="227">
        <f>IF(AC2025!Z98="","",AC2025!Z98)</f>
        <v/>
      </c>
      <c r="M99" s="227">
        <f>IF(AC2025!AA98="","",AC2025!AA98)</f>
        <v/>
      </c>
      <c r="N99" s="227">
        <f>IF(AC2025!AD98="","",AC2025!AD98)</f>
        <v/>
      </c>
      <c r="O99" s="227">
        <f>IF(AC2025!AE98="","",AC2025!AE98)</f>
        <v/>
      </c>
      <c r="P99" s="227">
        <f>IF(AC2025!AF98="","",AC2025!AF98)</f>
        <v/>
      </c>
      <c r="Q99" s="226">
        <f>IF(AC2025!AI98="","",AC2025!AI98)</f>
        <v/>
      </c>
      <c r="R99" s="227">
        <f>IF(AC2025!AM98="","",AC2025!AM98)</f>
        <v/>
      </c>
      <c r="S99" s="226">
        <f>IF(AC2025!AP98="","",AC2025!AP98)</f>
        <v/>
      </c>
      <c r="T99" s="227">
        <f>IF(AC2025!AT98="","",AC2025!AT98)</f>
        <v/>
      </c>
    </row>
    <row r="100">
      <c r="B100" s="226">
        <f>IF(AC2025!B99="","",AC2025!B99)</f>
        <v/>
      </c>
      <c r="C100" s="226">
        <f>IF(AC2025!E99="","",AC2025!E99)</f>
        <v/>
      </c>
      <c r="D100" s="227">
        <f>IF(AC2025!H99="","",AC2025!H99)</f>
        <v/>
      </c>
      <c r="E100" s="227">
        <f>IF(AC2025!K99="","",AC2025!K99)</f>
        <v/>
      </c>
      <c r="F100" s="227">
        <f>IF(AC2025!L99="","",AC2025!L99)</f>
        <v/>
      </c>
      <c r="G100" s="227">
        <f>IF(AC2025!P99="","",AC2025!P99)</f>
        <v/>
      </c>
      <c r="H100" s="227">
        <f>IF(AC2025!O99="","",AC2025!O99)</f>
        <v/>
      </c>
      <c r="I100" s="227">
        <f>IF(AC2025!U99="","",AC2025!U99)</f>
        <v/>
      </c>
      <c r="J100" s="227">
        <f>IF(AC2025!X99="","",AC2025!X99)</f>
        <v/>
      </c>
      <c r="K100" s="227">
        <f>IF(AC2025!Y99="","",AC2025!Y99)</f>
        <v/>
      </c>
      <c r="L100" s="227">
        <f>IF(AC2025!Z99="","",AC2025!Z99)</f>
        <v/>
      </c>
      <c r="M100" s="227">
        <f>IF(AC2025!AA99="","",AC2025!AA99)</f>
        <v/>
      </c>
      <c r="N100" s="227">
        <f>IF(AC2025!AD99="","",AC2025!AD99)</f>
        <v/>
      </c>
      <c r="O100" s="227">
        <f>IF(AC2025!AE99="","",AC2025!AE99)</f>
        <v/>
      </c>
      <c r="P100" s="227">
        <f>IF(AC2025!AF99="","",AC2025!AF99)</f>
        <v/>
      </c>
      <c r="Q100" s="226">
        <f>IF(AC2025!AI99="","",AC2025!AI99)</f>
        <v/>
      </c>
      <c r="R100" s="227">
        <f>IF(AC2025!AM99="","",AC2025!AM99)</f>
        <v/>
      </c>
      <c r="S100" s="226">
        <f>IF(AC2025!AP99="","",AC2025!AP99)</f>
        <v/>
      </c>
      <c r="T100" s="227">
        <f>IF(AC2025!AT99="","",AC2025!AT99)</f>
        <v/>
      </c>
    </row>
    <row r="101">
      <c r="B101" s="226">
        <f>IF(AC2025!B100="","",AC2025!B100)</f>
        <v/>
      </c>
      <c r="C101" s="226">
        <f>IF(AC2025!E100="","",AC2025!E100)</f>
        <v/>
      </c>
      <c r="D101" s="227">
        <f>IF(AC2025!H100="","",AC2025!H100)</f>
        <v/>
      </c>
      <c r="E101" s="227">
        <f>IF(AC2025!K100="","",AC2025!K100)</f>
        <v/>
      </c>
      <c r="F101" s="227">
        <f>IF(AC2025!L100="","",AC2025!L100)</f>
        <v/>
      </c>
      <c r="G101" s="227">
        <f>IF(AC2025!P100="","",AC2025!P100)</f>
        <v/>
      </c>
      <c r="H101" s="227">
        <f>IF(AC2025!O100="","",AC2025!O100)</f>
        <v/>
      </c>
      <c r="I101" s="227">
        <f>IF(AC2025!U100="","",AC2025!U100)</f>
        <v/>
      </c>
      <c r="J101" s="227">
        <f>IF(AC2025!X100="","",AC2025!X100)</f>
        <v/>
      </c>
      <c r="K101" s="227">
        <f>IF(AC2025!Y100="","",AC2025!Y100)</f>
        <v/>
      </c>
      <c r="L101" s="227">
        <f>IF(AC2025!Z100="","",AC2025!Z100)</f>
        <v/>
      </c>
      <c r="M101" s="227">
        <f>IF(AC2025!AA100="","",AC2025!AA100)</f>
        <v/>
      </c>
      <c r="N101" s="227">
        <f>IF(AC2025!AD100="","",AC2025!AD100)</f>
        <v/>
      </c>
      <c r="O101" s="227">
        <f>IF(AC2025!AE100="","",AC2025!AE100)</f>
        <v/>
      </c>
      <c r="P101" s="227">
        <f>IF(AC2025!AF100="","",AC2025!AF100)</f>
        <v/>
      </c>
      <c r="Q101" s="226">
        <f>IF(AC2025!AI100="","",AC2025!AI100)</f>
        <v/>
      </c>
      <c r="R101" s="227">
        <f>IF(AC2025!AM100="","",AC2025!AM100)</f>
        <v/>
      </c>
      <c r="S101" s="226">
        <f>IF(AC2025!AP100="","",AC2025!AP100)</f>
        <v/>
      </c>
      <c r="T101" s="227">
        <f>IF(AC2025!AT100="","",AC2025!AT100)</f>
        <v/>
      </c>
    </row>
    <row r="102">
      <c r="B102" s="226">
        <f>IF(AC2025!B101="","",AC2025!B101)</f>
        <v/>
      </c>
      <c r="C102" s="226">
        <f>IF(AC2025!E101="","",AC2025!E101)</f>
        <v/>
      </c>
      <c r="D102" s="227">
        <f>IF(AC2025!H101="","",AC2025!H101)</f>
        <v/>
      </c>
      <c r="E102" s="227">
        <f>IF(AC2025!K101="","",AC2025!K101)</f>
        <v/>
      </c>
      <c r="F102" s="227">
        <f>IF(AC2025!L101="","",AC2025!L101)</f>
        <v/>
      </c>
      <c r="G102" s="227">
        <f>IF(AC2025!P101="","",AC2025!P101)</f>
        <v/>
      </c>
      <c r="H102" s="227">
        <f>IF(AC2025!O101="","",AC2025!O101)</f>
        <v/>
      </c>
      <c r="I102" s="227">
        <f>IF(AC2025!U101="","",AC2025!U101)</f>
        <v/>
      </c>
      <c r="J102" s="227">
        <f>IF(AC2025!X101="","",AC2025!X101)</f>
        <v/>
      </c>
      <c r="K102" s="227">
        <f>IF(AC2025!Y101="","",AC2025!Y101)</f>
        <v/>
      </c>
      <c r="L102" s="227">
        <f>IF(AC2025!Z101="","",AC2025!Z101)</f>
        <v/>
      </c>
      <c r="M102" s="227">
        <f>IF(AC2025!AA101="","",AC2025!AA101)</f>
        <v/>
      </c>
      <c r="N102" s="227">
        <f>IF(AC2025!AD101="","",AC2025!AD101)</f>
        <v/>
      </c>
      <c r="O102" s="227">
        <f>IF(AC2025!AE101="","",AC2025!AE101)</f>
        <v/>
      </c>
      <c r="P102" s="227">
        <f>IF(AC2025!AF101="","",AC2025!AF101)</f>
        <v/>
      </c>
      <c r="Q102" s="226">
        <f>IF(AC2025!AI101="","",AC2025!AI101)</f>
        <v/>
      </c>
      <c r="R102" s="227">
        <f>IF(AC2025!AM101="","",AC2025!AM101)</f>
        <v/>
      </c>
      <c r="S102" s="226">
        <f>IF(AC2025!AP101="","",AC2025!AP101)</f>
        <v/>
      </c>
      <c r="T102" s="227">
        <f>IF(AC2025!AT101="","",AC2025!AT101)</f>
        <v/>
      </c>
    </row>
    <row r="103">
      <c r="B103" s="226">
        <f>IF(AC2025!B102="","",AC2025!B102)</f>
        <v/>
      </c>
      <c r="C103" s="226">
        <f>IF(AC2025!E102="","",AC2025!E102)</f>
        <v/>
      </c>
      <c r="D103" s="227">
        <f>IF(AC2025!H102="","",AC2025!H102)</f>
        <v/>
      </c>
      <c r="E103" s="227">
        <f>IF(AC2025!K102="","",AC2025!K102)</f>
        <v/>
      </c>
      <c r="F103" s="227">
        <f>IF(AC2025!L102="","",AC2025!L102)</f>
        <v/>
      </c>
      <c r="G103" s="227">
        <f>IF(AC2025!P102="","",AC2025!P102)</f>
        <v/>
      </c>
      <c r="H103" s="227">
        <f>IF(AC2025!O102="","",AC2025!O102)</f>
        <v/>
      </c>
      <c r="I103" s="227">
        <f>IF(AC2025!U102="","",AC2025!U102)</f>
        <v/>
      </c>
      <c r="J103" s="227">
        <f>IF(AC2025!X102="","",AC2025!X102)</f>
        <v/>
      </c>
      <c r="K103" s="227">
        <f>IF(AC2025!Y102="","",AC2025!Y102)</f>
        <v/>
      </c>
      <c r="L103" s="227">
        <f>IF(AC2025!Z102="","",AC2025!Z102)</f>
        <v/>
      </c>
      <c r="M103" s="227">
        <f>IF(AC2025!AA102="","",AC2025!AA102)</f>
        <v/>
      </c>
      <c r="N103" s="227">
        <f>IF(AC2025!AD102="","",AC2025!AD102)</f>
        <v/>
      </c>
      <c r="O103" s="227">
        <f>IF(AC2025!AE102="","",AC2025!AE102)</f>
        <v/>
      </c>
      <c r="P103" s="227">
        <f>IF(AC2025!AF102="","",AC2025!AF102)</f>
        <v/>
      </c>
      <c r="Q103" s="226">
        <f>IF(AC2025!AI102="","",AC2025!AI102)</f>
        <v/>
      </c>
      <c r="R103" s="227">
        <f>IF(AC2025!AM102="","",AC2025!AM102)</f>
        <v/>
      </c>
      <c r="S103" s="226">
        <f>IF(AC2025!AP102="","",AC2025!AP102)</f>
        <v/>
      </c>
      <c r="T103" s="227">
        <f>IF(AC2025!AT102="","",AC2025!AT102)</f>
        <v/>
      </c>
    </row>
    <row r="104">
      <c r="B104" s="226">
        <f>IF(AC2025!B103="","",AC2025!B103)</f>
        <v/>
      </c>
      <c r="C104" s="226">
        <f>IF(AC2025!E103="","",AC2025!E103)</f>
        <v/>
      </c>
      <c r="D104" s="227">
        <f>IF(AC2025!H103="","",AC2025!H103)</f>
        <v/>
      </c>
      <c r="E104" s="227">
        <f>IF(AC2025!K103="","",AC2025!K103)</f>
        <v/>
      </c>
      <c r="F104" s="227">
        <f>IF(AC2025!L103="","",AC2025!L103)</f>
        <v/>
      </c>
      <c r="G104" s="227">
        <f>IF(AC2025!P103="","",AC2025!P103)</f>
        <v/>
      </c>
      <c r="H104" s="227">
        <f>IF(AC2025!O103="","",AC2025!O103)</f>
        <v/>
      </c>
      <c r="I104" s="227">
        <f>IF(AC2025!U103="","",AC2025!U103)</f>
        <v/>
      </c>
      <c r="J104" s="227">
        <f>IF(AC2025!X103="","",AC2025!X103)</f>
        <v/>
      </c>
      <c r="K104" s="227">
        <f>IF(AC2025!Y103="","",AC2025!Y103)</f>
        <v/>
      </c>
      <c r="L104" s="227">
        <f>IF(AC2025!Z103="","",AC2025!Z103)</f>
        <v/>
      </c>
      <c r="M104" s="227">
        <f>IF(AC2025!AA103="","",AC2025!AA103)</f>
        <v/>
      </c>
      <c r="N104" s="227">
        <f>IF(AC2025!AD103="","",AC2025!AD103)</f>
        <v/>
      </c>
      <c r="O104" s="227">
        <f>IF(AC2025!AE103="","",AC2025!AE103)</f>
        <v/>
      </c>
      <c r="P104" s="227">
        <f>IF(AC2025!AF103="","",AC2025!AF103)</f>
        <v/>
      </c>
      <c r="Q104" s="226">
        <f>IF(AC2025!AI103="","",AC2025!AI103)</f>
        <v/>
      </c>
      <c r="R104" s="227">
        <f>IF(AC2025!AM103="","",AC2025!AM103)</f>
        <v/>
      </c>
      <c r="S104" s="226">
        <f>IF(AC2025!AP103="","",AC2025!AP103)</f>
        <v/>
      </c>
      <c r="T104" s="227">
        <f>IF(AC2025!AT103="","",AC2025!AT103)</f>
        <v/>
      </c>
    </row>
    <row r="105">
      <c r="B105" s="226">
        <f>IF(AC2025!B104="","",AC2025!B104)</f>
        <v/>
      </c>
      <c r="C105" s="226">
        <f>IF(AC2025!E104="","",AC2025!E104)</f>
        <v/>
      </c>
      <c r="D105" s="227">
        <f>IF(AC2025!H104="","",AC2025!H104)</f>
        <v/>
      </c>
      <c r="E105" s="227">
        <f>IF(AC2025!K104="","",AC2025!K104)</f>
        <v/>
      </c>
      <c r="F105" s="227">
        <f>IF(AC2025!L104="","",AC2025!L104)</f>
        <v/>
      </c>
      <c r="G105" s="227">
        <f>IF(AC2025!P104="","",AC2025!P104)</f>
        <v/>
      </c>
      <c r="H105" s="227">
        <f>IF(AC2025!O104="","",AC2025!O104)</f>
        <v/>
      </c>
      <c r="I105" s="227">
        <f>IF(AC2025!U104="","",AC2025!U104)</f>
        <v/>
      </c>
      <c r="J105" s="227">
        <f>IF(AC2025!X104="","",AC2025!X104)</f>
        <v/>
      </c>
      <c r="K105" s="227">
        <f>IF(AC2025!Y104="","",AC2025!Y104)</f>
        <v/>
      </c>
      <c r="L105" s="227">
        <f>IF(AC2025!Z104="","",AC2025!Z104)</f>
        <v/>
      </c>
      <c r="M105" s="227">
        <f>IF(AC2025!AA104="","",AC2025!AA104)</f>
        <v/>
      </c>
      <c r="N105" s="227">
        <f>IF(AC2025!AD104="","",AC2025!AD104)</f>
        <v/>
      </c>
      <c r="O105" s="227">
        <f>IF(AC2025!AE104="","",AC2025!AE104)</f>
        <v/>
      </c>
      <c r="P105" s="227">
        <f>IF(AC2025!AF104="","",AC2025!AF104)</f>
        <v/>
      </c>
      <c r="Q105" s="226">
        <f>IF(AC2025!AI104="","",AC2025!AI104)</f>
        <v/>
      </c>
      <c r="R105" s="227">
        <f>IF(AC2025!AM104="","",AC2025!AM104)</f>
        <v/>
      </c>
      <c r="S105" s="226">
        <f>IF(AC2025!AP104="","",AC2025!AP104)</f>
        <v/>
      </c>
      <c r="T105" s="227">
        <f>IF(AC2025!AT104="","",AC2025!AT104)</f>
        <v/>
      </c>
    </row>
    <row r="106">
      <c r="B106" s="226">
        <f>IF(AC2025!B105="","",AC2025!B105)</f>
        <v/>
      </c>
      <c r="C106" s="226">
        <f>IF(AC2025!E105="","",AC2025!E105)</f>
        <v/>
      </c>
      <c r="D106" s="227">
        <f>IF(AC2025!H105="","",AC2025!H105)</f>
        <v/>
      </c>
      <c r="E106" s="227">
        <f>IF(AC2025!K105="","",AC2025!K105)</f>
        <v/>
      </c>
      <c r="F106" s="227">
        <f>IF(AC2025!L105="","",AC2025!L105)</f>
        <v/>
      </c>
      <c r="G106" s="227">
        <f>IF(AC2025!P105="","",AC2025!P105)</f>
        <v/>
      </c>
      <c r="H106" s="227">
        <f>IF(AC2025!O105="","",AC2025!O105)</f>
        <v/>
      </c>
      <c r="I106" s="227">
        <f>IF(AC2025!U105="","",AC2025!U105)</f>
        <v/>
      </c>
      <c r="J106" s="227">
        <f>IF(AC2025!X105="","",AC2025!X105)</f>
        <v/>
      </c>
      <c r="K106" s="227">
        <f>IF(AC2025!Y105="","",AC2025!Y105)</f>
        <v/>
      </c>
      <c r="L106" s="227">
        <f>IF(AC2025!Z105="","",AC2025!Z105)</f>
        <v/>
      </c>
      <c r="M106" s="227">
        <f>IF(AC2025!AA105="","",AC2025!AA105)</f>
        <v/>
      </c>
      <c r="N106" s="227">
        <f>IF(AC2025!AD105="","",AC2025!AD105)</f>
        <v/>
      </c>
      <c r="O106" s="227">
        <f>IF(AC2025!AE105="","",AC2025!AE105)</f>
        <v/>
      </c>
      <c r="P106" s="227">
        <f>IF(AC2025!AF105="","",AC2025!AF105)</f>
        <v/>
      </c>
      <c r="Q106" s="226">
        <f>IF(AC2025!AI105="","",AC2025!AI105)</f>
        <v/>
      </c>
      <c r="R106" s="227">
        <f>IF(AC2025!AM105="","",AC2025!AM105)</f>
        <v/>
      </c>
      <c r="S106" s="226">
        <f>IF(AC2025!AP105="","",AC2025!AP105)</f>
        <v/>
      </c>
      <c r="T106" s="227">
        <f>IF(AC2025!AT105="","",AC2025!AT105)</f>
        <v/>
      </c>
    </row>
    <row r="107">
      <c r="B107" s="226">
        <f>IF(AC2025!B106="","",AC2025!B106)</f>
        <v/>
      </c>
      <c r="C107" s="226">
        <f>IF(AC2025!E106="","",AC2025!E106)</f>
        <v/>
      </c>
      <c r="D107" s="227">
        <f>IF(AC2025!H106="","",AC2025!H106)</f>
        <v/>
      </c>
      <c r="E107" s="227">
        <f>IF(AC2025!K106="","",AC2025!K106)</f>
        <v/>
      </c>
      <c r="F107" s="227">
        <f>IF(AC2025!L106="","",AC2025!L106)</f>
        <v/>
      </c>
      <c r="G107" s="227">
        <f>IF(AC2025!P106="","",AC2025!P106)</f>
        <v/>
      </c>
      <c r="H107" s="227">
        <f>IF(AC2025!O106="","",AC2025!O106)</f>
        <v/>
      </c>
      <c r="I107" s="227">
        <f>IF(AC2025!U106="","",AC2025!U106)</f>
        <v/>
      </c>
      <c r="J107" s="227">
        <f>IF(AC2025!X106="","",AC2025!X106)</f>
        <v/>
      </c>
      <c r="K107" s="227">
        <f>IF(AC2025!Y106="","",AC2025!Y106)</f>
        <v/>
      </c>
      <c r="L107" s="227">
        <f>IF(AC2025!Z106="","",AC2025!Z106)</f>
        <v/>
      </c>
      <c r="M107" s="227">
        <f>IF(AC2025!AA106="","",AC2025!AA106)</f>
        <v/>
      </c>
      <c r="N107" s="227">
        <f>IF(AC2025!AD106="","",AC2025!AD106)</f>
        <v/>
      </c>
      <c r="O107" s="227">
        <f>IF(AC2025!AE106="","",AC2025!AE106)</f>
        <v/>
      </c>
      <c r="P107" s="227">
        <f>IF(AC2025!AF106="","",AC2025!AF106)</f>
        <v/>
      </c>
      <c r="Q107" s="226">
        <f>IF(AC2025!AI106="","",AC2025!AI106)</f>
        <v/>
      </c>
      <c r="R107" s="227">
        <f>IF(AC2025!AM106="","",AC2025!AM106)</f>
        <v/>
      </c>
      <c r="S107" s="226">
        <f>IF(AC2025!AP106="","",AC2025!AP106)</f>
        <v/>
      </c>
      <c r="T107" s="227">
        <f>IF(AC2025!AT106="","",AC2025!AT106)</f>
        <v/>
      </c>
    </row>
    <row r="108">
      <c r="B108" s="226">
        <f>IF(AC2025!B107="","",AC2025!B107)</f>
        <v/>
      </c>
      <c r="C108" s="226">
        <f>IF(AC2025!E107="","",AC2025!E107)</f>
        <v/>
      </c>
      <c r="D108" s="227">
        <f>IF(AC2025!H107="","",AC2025!H107)</f>
        <v/>
      </c>
      <c r="E108" s="227">
        <f>IF(AC2025!K107="","",AC2025!K107)</f>
        <v/>
      </c>
      <c r="F108" s="227">
        <f>IF(AC2025!L107="","",AC2025!L107)</f>
        <v/>
      </c>
      <c r="G108" s="227">
        <f>IF(AC2025!P107="","",AC2025!P107)</f>
        <v/>
      </c>
      <c r="H108" s="227">
        <f>IF(AC2025!O107="","",AC2025!O107)</f>
        <v/>
      </c>
      <c r="I108" s="227">
        <f>IF(AC2025!U107="","",AC2025!U107)</f>
        <v/>
      </c>
      <c r="J108" s="227">
        <f>IF(AC2025!X107="","",AC2025!X107)</f>
        <v/>
      </c>
      <c r="K108" s="227">
        <f>IF(AC2025!Y107="","",AC2025!Y107)</f>
        <v/>
      </c>
      <c r="L108" s="227">
        <f>IF(AC2025!Z107="","",AC2025!Z107)</f>
        <v/>
      </c>
      <c r="M108" s="227">
        <f>IF(AC2025!AA107="","",AC2025!AA107)</f>
        <v/>
      </c>
      <c r="N108" s="227">
        <f>IF(AC2025!AD107="","",AC2025!AD107)</f>
        <v/>
      </c>
      <c r="O108" s="227">
        <f>IF(AC2025!AE107="","",AC2025!AE107)</f>
        <v/>
      </c>
      <c r="P108" s="227">
        <f>IF(AC2025!AF107="","",AC2025!AF107)</f>
        <v/>
      </c>
      <c r="Q108" s="226">
        <f>IF(AC2025!AI107="","",AC2025!AI107)</f>
        <v/>
      </c>
      <c r="R108" s="227">
        <f>IF(AC2025!AM107="","",AC2025!AM107)</f>
        <v/>
      </c>
      <c r="S108" s="226">
        <f>IF(AC2025!AP107="","",AC2025!AP107)</f>
        <v/>
      </c>
      <c r="T108" s="227">
        <f>IF(AC2025!AT107="","",AC2025!AT107)</f>
        <v/>
      </c>
    </row>
    <row r="109">
      <c r="B109" s="226">
        <f>IF(AC2025!B108="","",AC2025!B108)</f>
        <v/>
      </c>
      <c r="C109" s="226">
        <f>IF(AC2025!E108="","",AC2025!E108)</f>
        <v/>
      </c>
      <c r="D109" s="227">
        <f>IF(AC2025!H108="","",AC2025!H108)</f>
        <v/>
      </c>
      <c r="E109" s="227">
        <f>IF(AC2025!K108="","",AC2025!K108)</f>
        <v/>
      </c>
      <c r="F109" s="227">
        <f>IF(AC2025!L108="","",AC2025!L108)</f>
        <v/>
      </c>
      <c r="G109" s="227">
        <f>IF(AC2025!P108="","",AC2025!P108)</f>
        <v/>
      </c>
      <c r="H109" s="227">
        <f>IF(AC2025!O108="","",AC2025!O108)</f>
        <v/>
      </c>
      <c r="I109" s="227">
        <f>IF(AC2025!U108="","",AC2025!U108)</f>
        <v/>
      </c>
      <c r="J109" s="227">
        <f>IF(AC2025!X108="","",AC2025!X108)</f>
        <v/>
      </c>
      <c r="K109" s="227">
        <f>IF(AC2025!Y108="","",AC2025!Y108)</f>
        <v/>
      </c>
      <c r="L109" s="227">
        <f>IF(AC2025!Z108="","",AC2025!Z108)</f>
        <v/>
      </c>
      <c r="M109" s="227">
        <f>IF(AC2025!AA108="","",AC2025!AA108)</f>
        <v/>
      </c>
      <c r="N109" s="227">
        <f>IF(AC2025!AD108="","",AC2025!AD108)</f>
        <v/>
      </c>
      <c r="O109" s="227">
        <f>IF(AC2025!AE108="","",AC2025!AE108)</f>
        <v/>
      </c>
      <c r="P109" s="227">
        <f>IF(AC2025!AF108="","",AC2025!AF108)</f>
        <v/>
      </c>
      <c r="Q109" s="226">
        <f>IF(AC2025!AI108="","",AC2025!AI108)</f>
        <v/>
      </c>
      <c r="R109" s="227">
        <f>IF(AC2025!AM108="","",AC2025!AM108)</f>
        <v/>
      </c>
      <c r="S109" s="226">
        <f>IF(AC2025!AP108="","",AC2025!AP108)</f>
        <v/>
      </c>
      <c r="T109" s="227">
        <f>IF(AC2025!AT108="","",AC2025!AT108)</f>
        <v/>
      </c>
    </row>
    <row r="110">
      <c r="B110" s="226">
        <f>IF(AC2025!B109="","",AC2025!B109)</f>
        <v/>
      </c>
      <c r="C110" s="226">
        <f>IF(AC2025!E109="","",AC2025!E109)</f>
        <v/>
      </c>
      <c r="D110" s="227">
        <f>IF(AC2025!H109="","",AC2025!H109)</f>
        <v/>
      </c>
      <c r="E110" s="227">
        <f>IF(AC2025!K109="","",AC2025!K109)</f>
        <v/>
      </c>
      <c r="F110" s="227">
        <f>IF(AC2025!L109="","",AC2025!L109)</f>
        <v/>
      </c>
      <c r="G110" s="227">
        <f>IF(AC2025!P109="","",AC2025!P109)</f>
        <v/>
      </c>
      <c r="H110" s="227">
        <f>IF(AC2025!O109="","",AC2025!O109)</f>
        <v/>
      </c>
      <c r="I110" s="227">
        <f>IF(AC2025!U109="","",AC2025!U109)</f>
        <v/>
      </c>
      <c r="J110" s="227">
        <f>IF(AC2025!X109="","",AC2025!X109)</f>
        <v/>
      </c>
      <c r="K110" s="227">
        <f>IF(AC2025!Y109="","",AC2025!Y109)</f>
        <v/>
      </c>
      <c r="L110" s="227">
        <f>IF(AC2025!Z109="","",AC2025!Z109)</f>
        <v/>
      </c>
      <c r="M110" s="227">
        <f>IF(AC2025!AA109="","",AC2025!AA109)</f>
        <v/>
      </c>
      <c r="N110" s="227">
        <f>IF(AC2025!AD109="","",AC2025!AD109)</f>
        <v/>
      </c>
      <c r="O110" s="227">
        <f>IF(AC2025!AE109="","",AC2025!AE109)</f>
        <v/>
      </c>
      <c r="P110" s="227">
        <f>IF(AC2025!AF109="","",AC2025!AF109)</f>
        <v/>
      </c>
      <c r="Q110" s="226">
        <f>IF(AC2025!AI109="","",AC2025!AI109)</f>
        <v/>
      </c>
      <c r="R110" s="227">
        <f>IF(AC2025!AM109="","",AC2025!AM109)</f>
        <v/>
      </c>
      <c r="S110" s="226">
        <f>IF(AC2025!AP109="","",AC2025!AP109)</f>
        <v/>
      </c>
      <c r="T110" s="227">
        <f>IF(AC2025!AT109="","",AC2025!AT109)</f>
        <v/>
      </c>
    </row>
    <row r="111">
      <c r="B111" s="226">
        <f>IF(AC2025!B110="","",AC2025!B110)</f>
        <v/>
      </c>
      <c r="C111" s="226">
        <f>IF(AC2025!E110="","",AC2025!E110)</f>
        <v/>
      </c>
      <c r="D111" s="227">
        <f>IF(AC2025!H110="","",AC2025!H110)</f>
        <v/>
      </c>
      <c r="E111" s="227">
        <f>IF(AC2025!K110="","",AC2025!K110)</f>
        <v/>
      </c>
      <c r="F111" s="227">
        <f>IF(AC2025!L110="","",AC2025!L110)</f>
        <v/>
      </c>
      <c r="G111" s="227">
        <f>IF(AC2025!P110="","",AC2025!P110)</f>
        <v/>
      </c>
      <c r="H111" s="227">
        <f>IF(AC2025!O110="","",AC2025!O110)</f>
        <v/>
      </c>
      <c r="I111" s="227">
        <f>IF(AC2025!U110="","",AC2025!U110)</f>
        <v/>
      </c>
      <c r="J111" s="227">
        <f>IF(AC2025!X110="","",AC2025!X110)</f>
        <v/>
      </c>
      <c r="K111" s="227">
        <f>IF(AC2025!Y110="","",AC2025!Y110)</f>
        <v/>
      </c>
      <c r="L111" s="227">
        <f>IF(AC2025!Z110="","",AC2025!Z110)</f>
        <v/>
      </c>
      <c r="M111" s="227">
        <f>IF(AC2025!AA110="","",AC2025!AA110)</f>
        <v/>
      </c>
      <c r="N111" s="227">
        <f>IF(AC2025!AD110="","",AC2025!AD110)</f>
        <v/>
      </c>
      <c r="O111" s="227">
        <f>IF(AC2025!AE110="","",AC2025!AE110)</f>
        <v/>
      </c>
      <c r="P111" s="227">
        <f>IF(AC2025!AF110="","",AC2025!AF110)</f>
        <v/>
      </c>
      <c r="Q111" s="226">
        <f>IF(AC2025!AI110="","",AC2025!AI110)</f>
        <v/>
      </c>
      <c r="R111" s="227">
        <f>IF(AC2025!AM110="","",AC2025!AM110)</f>
        <v/>
      </c>
      <c r="S111" s="226">
        <f>IF(AC2025!AP110="","",AC2025!AP110)</f>
        <v/>
      </c>
      <c r="T111" s="227">
        <f>IF(AC2025!AT110="","",AC2025!AT110)</f>
        <v/>
      </c>
    </row>
    <row r="112">
      <c r="B112" s="226">
        <f>IF(AC2025!B111="","",AC2025!B111)</f>
        <v/>
      </c>
      <c r="C112" s="226">
        <f>IF(AC2025!E111="","",AC2025!E111)</f>
        <v/>
      </c>
      <c r="D112" s="227">
        <f>IF(AC2025!H111="","",AC2025!H111)</f>
        <v/>
      </c>
      <c r="E112" s="227">
        <f>IF(AC2025!K111="","",AC2025!K111)</f>
        <v/>
      </c>
      <c r="F112" s="227">
        <f>IF(AC2025!L111="","",AC2025!L111)</f>
        <v/>
      </c>
      <c r="G112" s="227">
        <f>IF(AC2025!P111="","",AC2025!P111)</f>
        <v/>
      </c>
      <c r="H112" s="227">
        <f>IF(AC2025!O111="","",AC2025!O111)</f>
        <v/>
      </c>
      <c r="I112" s="227">
        <f>IF(AC2025!U111="","",AC2025!U111)</f>
        <v/>
      </c>
      <c r="J112" s="227">
        <f>IF(AC2025!X111="","",AC2025!X111)</f>
        <v/>
      </c>
      <c r="K112" s="227">
        <f>IF(AC2025!Y111="","",AC2025!Y111)</f>
        <v/>
      </c>
      <c r="L112" s="227">
        <f>IF(AC2025!Z111="","",AC2025!Z111)</f>
        <v/>
      </c>
      <c r="M112" s="227">
        <f>IF(AC2025!AA111="","",AC2025!AA111)</f>
        <v/>
      </c>
      <c r="N112" s="227">
        <f>IF(AC2025!AD111="","",AC2025!AD111)</f>
        <v/>
      </c>
      <c r="O112" s="227">
        <f>IF(AC2025!AE111="","",AC2025!AE111)</f>
        <v/>
      </c>
      <c r="P112" s="227">
        <f>IF(AC2025!AF111="","",AC2025!AF111)</f>
        <v/>
      </c>
      <c r="Q112" s="226">
        <f>IF(AC2025!AI111="","",AC2025!AI111)</f>
        <v/>
      </c>
      <c r="R112" s="227">
        <f>IF(AC2025!AM111="","",AC2025!AM111)</f>
        <v/>
      </c>
      <c r="S112" s="226">
        <f>IF(AC2025!AP111="","",AC2025!AP111)</f>
        <v/>
      </c>
      <c r="T112" s="227">
        <f>IF(AC2025!AT111="","",AC2025!AT111)</f>
        <v/>
      </c>
    </row>
    <row r="113">
      <c r="B113" s="226">
        <f>IF(AC2025!B112="","",AC2025!B112)</f>
        <v/>
      </c>
      <c r="C113" s="226">
        <f>IF(AC2025!E112="","",AC2025!E112)</f>
        <v/>
      </c>
      <c r="D113" s="227">
        <f>IF(AC2025!H112="","",AC2025!H112)</f>
        <v/>
      </c>
      <c r="E113" s="227">
        <f>IF(AC2025!K112="","",AC2025!K112)</f>
        <v/>
      </c>
      <c r="F113" s="227">
        <f>IF(AC2025!L112="","",AC2025!L112)</f>
        <v/>
      </c>
      <c r="G113" s="227">
        <f>IF(AC2025!P112="","",AC2025!P112)</f>
        <v/>
      </c>
      <c r="H113" s="227">
        <f>IF(AC2025!O112="","",AC2025!O112)</f>
        <v/>
      </c>
      <c r="I113" s="227">
        <f>IF(AC2025!U112="","",AC2025!U112)</f>
        <v/>
      </c>
      <c r="J113" s="227">
        <f>IF(AC2025!X112="","",AC2025!X112)</f>
        <v/>
      </c>
      <c r="K113" s="227">
        <f>IF(AC2025!Y112="","",AC2025!Y112)</f>
        <v/>
      </c>
      <c r="L113" s="227">
        <f>IF(AC2025!Z112="","",AC2025!Z112)</f>
        <v/>
      </c>
      <c r="M113" s="227">
        <f>IF(AC2025!AA112="","",AC2025!AA112)</f>
        <v/>
      </c>
      <c r="N113" s="227">
        <f>IF(AC2025!AD112="","",AC2025!AD112)</f>
        <v/>
      </c>
      <c r="O113" s="227">
        <f>IF(AC2025!AE112="","",AC2025!AE112)</f>
        <v/>
      </c>
      <c r="P113" s="227">
        <f>IF(AC2025!AF112="","",AC2025!AF112)</f>
        <v/>
      </c>
      <c r="Q113" s="226">
        <f>IF(AC2025!AI112="","",AC2025!AI112)</f>
        <v/>
      </c>
      <c r="R113" s="227">
        <f>IF(AC2025!AM112="","",AC2025!AM112)</f>
        <v/>
      </c>
      <c r="S113" s="226">
        <f>IF(AC2025!AP112="","",AC2025!AP112)</f>
        <v/>
      </c>
      <c r="T113" s="227">
        <f>IF(AC2025!AT112="","",AC2025!AT112)</f>
        <v/>
      </c>
    </row>
    <row r="114">
      <c r="B114" s="226">
        <f>IF(AC2025!B113="","",AC2025!B113)</f>
        <v/>
      </c>
      <c r="C114" s="226">
        <f>IF(AC2025!E113="","",AC2025!E113)</f>
        <v/>
      </c>
      <c r="D114" s="227">
        <f>IF(AC2025!H113="","",AC2025!H113)</f>
        <v/>
      </c>
      <c r="E114" s="227">
        <f>IF(AC2025!K113="","",AC2025!K113)</f>
        <v/>
      </c>
      <c r="F114" s="227">
        <f>IF(AC2025!L113="","",AC2025!L113)</f>
        <v/>
      </c>
      <c r="G114" s="227">
        <f>IF(AC2025!P113="","",AC2025!P113)</f>
        <v/>
      </c>
      <c r="H114" s="227">
        <f>IF(AC2025!O113="","",AC2025!O113)</f>
        <v/>
      </c>
      <c r="I114" s="227">
        <f>IF(AC2025!U113="","",AC2025!U113)</f>
        <v/>
      </c>
      <c r="J114" s="227">
        <f>IF(AC2025!X113="","",AC2025!X113)</f>
        <v/>
      </c>
      <c r="K114" s="227">
        <f>IF(AC2025!Y113="","",AC2025!Y113)</f>
        <v/>
      </c>
      <c r="L114" s="227">
        <f>IF(AC2025!Z113="","",AC2025!Z113)</f>
        <v/>
      </c>
      <c r="M114" s="227">
        <f>IF(AC2025!AA113="","",AC2025!AA113)</f>
        <v/>
      </c>
      <c r="N114" s="227">
        <f>IF(AC2025!AD113="","",AC2025!AD113)</f>
        <v/>
      </c>
      <c r="O114" s="227">
        <f>IF(AC2025!AE113="","",AC2025!AE113)</f>
        <v/>
      </c>
      <c r="P114" s="227">
        <f>IF(AC2025!AF113="","",AC2025!AF113)</f>
        <v/>
      </c>
      <c r="Q114" s="226">
        <f>IF(AC2025!AI113="","",AC2025!AI113)</f>
        <v/>
      </c>
      <c r="R114" s="227">
        <f>IF(AC2025!AM113="","",AC2025!AM113)</f>
        <v/>
      </c>
      <c r="S114" s="226">
        <f>IF(AC2025!AP113="","",AC2025!AP113)</f>
        <v/>
      </c>
      <c r="T114" s="227">
        <f>IF(AC2025!AT113="","",AC2025!AT113)</f>
        <v/>
      </c>
    </row>
    <row r="115">
      <c r="B115" s="226">
        <f>IF(AC2025!B114="","",AC2025!B114)</f>
        <v/>
      </c>
      <c r="C115" s="226">
        <f>IF(AC2025!E114="","",AC2025!E114)</f>
        <v/>
      </c>
      <c r="D115" s="227">
        <f>IF(AC2025!H114="","",AC2025!H114)</f>
        <v/>
      </c>
      <c r="E115" s="227">
        <f>IF(AC2025!K114="","",AC2025!K114)</f>
        <v/>
      </c>
      <c r="F115" s="227">
        <f>IF(AC2025!L114="","",AC2025!L114)</f>
        <v/>
      </c>
      <c r="G115" s="227">
        <f>IF(AC2025!P114="","",AC2025!P114)</f>
        <v/>
      </c>
      <c r="H115" s="227">
        <f>IF(AC2025!O114="","",AC2025!O114)</f>
        <v/>
      </c>
      <c r="I115" s="227">
        <f>IF(AC2025!U114="","",AC2025!U114)</f>
        <v/>
      </c>
      <c r="J115" s="227">
        <f>IF(AC2025!X114="","",AC2025!X114)</f>
        <v/>
      </c>
      <c r="K115" s="227">
        <f>IF(AC2025!Y114="","",AC2025!Y114)</f>
        <v/>
      </c>
      <c r="L115" s="227">
        <f>IF(AC2025!Z114="","",AC2025!Z114)</f>
        <v/>
      </c>
      <c r="M115" s="227">
        <f>IF(AC2025!AA114="","",AC2025!AA114)</f>
        <v/>
      </c>
      <c r="N115" s="227">
        <f>IF(AC2025!AD114="","",AC2025!AD114)</f>
        <v/>
      </c>
      <c r="O115" s="227">
        <f>IF(AC2025!AE114="","",AC2025!AE114)</f>
        <v/>
      </c>
      <c r="P115" s="227">
        <f>IF(AC2025!AF114="","",AC2025!AF114)</f>
        <v/>
      </c>
      <c r="Q115" s="226">
        <f>IF(AC2025!AI114="","",AC2025!AI114)</f>
        <v/>
      </c>
      <c r="R115" s="227">
        <f>IF(AC2025!AM114="","",AC2025!AM114)</f>
        <v/>
      </c>
      <c r="S115" s="226">
        <f>IF(AC2025!AP114="","",AC2025!AP114)</f>
        <v/>
      </c>
      <c r="T115" s="227">
        <f>IF(AC2025!AT114="","",AC2025!AT114)</f>
        <v/>
      </c>
    </row>
    <row r="116">
      <c r="B116" s="226">
        <f>IF(AC2025!B115="","",AC2025!B115)</f>
        <v/>
      </c>
      <c r="C116" s="226">
        <f>IF(AC2025!E115="","",AC2025!E115)</f>
        <v/>
      </c>
      <c r="D116" s="227">
        <f>IF(AC2025!H115="","",AC2025!H115)</f>
        <v/>
      </c>
      <c r="E116" s="227">
        <f>IF(AC2025!K115="","",AC2025!K115)</f>
        <v/>
      </c>
      <c r="F116" s="227">
        <f>IF(AC2025!L115="","",AC2025!L115)</f>
        <v/>
      </c>
      <c r="G116" s="227">
        <f>IF(AC2025!P115="","",AC2025!P115)</f>
        <v/>
      </c>
      <c r="H116" s="227">
        <f>IF(AC2025!O115="","",AC2025!O115)</f>
        <v/>
      </c>
      <c r="I116" s="227">
        <f>IF(AC2025!U115="","",AC2025!U115)</f>
        <v/>
      </c>
      <c r="J116" s="227">
        <f>IF(AC2025!X115="","",AC2025!X115)</f>
        <v/>
      </c>
      <c r="K116" s="227">
        <f>IF(AC2025!Y115="","",AC2025!Y115)</f>
        <v/>
      </c>
      <c r="L116" s="227">
        <f>IF(AC2025!Z115="","",AC2025!Z115)</f>
        <v/>
      </c>
      <c r="M116" s="227">
        <f>IF(AC2025!AA115="","",AC2025!AA115)</f>
        <v/>
      </c>
      <c r="N116" s="227">
        <f>IF(AC2025!AD115="","",AC2025!AD115)</f>
        <v/>
      </c>
      <c r="O116" s="227">
        <f>IF(AC2025!AE115="","",AC2025!AE115)</f>
        <v/>
      </c>
      <c r="P116" s="227">
        <f>IF(AC2025!AF115="","",AC2025!AF115)</f>
        <v/>
      </c>
      <c r="Q116" s="226">
        <f>IF(AC2025!AI115="","",AC2025!AI115)</f>
        <v/>
      </c>
      <c r="R116" s="227">
        <f>IF(AC2025!AM115="","",AC2025!AM115)</f>
        <v/>
      </c>
      <c r="S116" s="226">
        <f>IF(AC2025!AP115="","",AC2025!AP115)</f>
        <v/>
      </c>
      <c r="T116" s="227">
        <f>IF(AC2025!AT115="","",AC2025!AT115)</f>
        <v/>
      </c>
    </row>
    <row r="117">
      <c r="B117" s="226">
        <f>IF(AC2025!B116="","",AC2025!B116)</f>
        <v/>
      </c>
      <c r="C117" s="226">
        <f>IF(AC2025!E116="","",AC2025!E116)</f>
        <v/>
      </c>
      <c r="D117" s="227">
        <f>IF(AC2025!H116="","",AC2025!H116)</f>
        <v/>
      </c>
      <c r="E117" s="227">
        <f>IF(AC2025!K116="","",AC2025!K116)</f>
        <v/>
      </c>
      <c r="F117" s="227">
        <f>IF(AC2025!L116="","",AC2025!L116)</f>
        <v/>
      </c>
      <c r="G117" s="227">
        <f>IF(AC2025!P116="","",AC2025!P116)</f>
        <v/>
      </c>
      <c r="H117" s="227">
        <f>IF(AC2025!O116="","",AC2025!O116)</f>
        <v/>
      </c>
      <c r="I117" s="227">
        <f>IF(AC2025!U116="","",AC2025!U116)</f>
        <v/>
      </c>
      <c r="J117" s="227">
        <f>IF(AC2025!X116="","",AC2025!X116)</f>
        <v/>
      </c>
      <c r="K117" s="227">
        <f>IF(AC2025!Y116="","",AC2025!Y116)</f>
        <v/>
      </c>
      <c r="L117" s="227">
        <f>IF(AC2025!Z116="","",AC2025!Z116)</f>
        <v/>
      </c>
      <c r="M117" s="227">
        <f>IF(AC2025!AA116="","",AC2025!AA116)</f>
        <v/>
      </c>
      <c r="N117" s="227">
        <f>IF(AC2025!AD116="","",AC2025!AD116)</f>
        <v/>
      </c>
      <c r="O117" s="227">
        <f>IF(AC2025!AE116="","",AC2025!AE116)</f>
        <v/>
      </c>
      <c r="P117" s="227">
        <f>IF(AC2025!AF116="","",AC2025!AF116)</f>
        <v/>
      </c>
      <c r="Q117" s="226">
        <f>IF(AC2025!AI116="","",AC2025!AI116)</f>
        <v/>
      </c>
      <c r="R117" s="227">
        <f>IF(AC2025!AM116="","",AC2025!AM116)</f>
        <v/>
      </c>
      <c r="S117" s="226">
        <f>IF(AC2025!AP116="","",AC2025!AP116)</f>
        <v/>
      </c>
      <c r="T117" s="227">
        <f>IF(AC2025!AT116="","",AC2025!AT116)</f>
        <v/>
      </c>
    </row>
    <row r="118">
      <c r="B118" s="226">
        <f>IF(AC2025!B117="","",AC2025!B117)</f>
        <v/>
      </c>
      <c r="C118" s="226">
        <f>IF(AC2025!E117="","",AC2025!E117)</f>
        <v/>
      </c>
      <c r="D118" s="227">
        <f>IF(AC2025!H117="","",AC2025!H117)</f>
        <v/>
      </c>
      <c r="E118" s="227">
        <f>IF(AC2025!K117="","",AC2025!K117)</f>
        <v/>
      </c>
      <c r="F118" s="227">
        <f>IF(AC2025!L117="","",AC2025!L117)</f>
        <v/>
      </c>
      <c r="G118" s="227">
        <f>IF(AC2025!P117="","",AC2025!P117)</f>
        <v/>
      </c>
      <c r="H118" s="227">
        <f>IF(AC2025!O117="","",AC2025!O117)</f>
        <v/>
      </c>
      <c r="I118" s="227">
        <f>IF(AC2025!U117="","",AC2025!U117)</f>
        <v/>
      </c>
      <c r="J118" s="227">
        <f>IF(AC2025!X117="","",AC2025!X117)</f>
        <v/>
      </c>
      <c r="K118" s="227">
        <f>IF(AC2025!Y117="","",AC2025!Y117)</f>
        <v/>
      </c>
      <c r="L118" s="227">
        <f>IF(AC2025!Z117="","",AC2025!Z117)</f>
        <v/>
      </c>
      <c r="M118" s="227">
        <f>IF(AC2025!AA117="","",AC2025!AA117)</f>
        <v/>
      </c>
      <c r="N118" s="227">
        <f>IF(AC2025!AD117="","",AC2025!AD117)</f>
        <v/>
      </c>
      <c r="O118" s="227">
        <f>IF(AC2025!AE117="","",AC2025!AE117)</f>
        <v/>
      </c>
      <c r="P118" s="227">
        <f>IF(AC2025!AF117="","",AC2025!AF117)</f>
        <v/>
      </c>
      <c r="Q118" s="226">
        <f>IF(AC2025!AI117="","",AC2025!AI117)</f>
        <v/>
      </c>
      <c r="R118" s="227">
        <f>IF(AC2025!AM117="","",AC2025!AM117)</f>
        <v/>
      </c>
      <c r="S118" s="226">
        <f>IF(AC2025!AP117="","",AC2025!AP117)</f>
        <v/>
      </c>
      <c r="T118" s="227">
        <f>IF(AC2025!AT117="","",AC2025!AT117)</f>
        <v/>
      </c>
    </row>
    <row r="119">
      <c r="B119" s="226">
        <f>IF(AC2025!B118="","",AC2025!B118)</f>
        <v/>
      </c>
      <c r="C119" s="226">
        <f>IF(AC2025!E118="","",AC2025!E118)</f>
        <v/>
      </c>
      <c r="D119" s="227">
        <f>IF(AC2025!H118="","",AC2025!H118)</f>
        <v/>
      </c>
      <c r="E119" s="227">
        <f>IF(AC2025!K118="","",AC2025!K118)</f>
        <v/>
      </c>
      <c r="F119" s="227">
        <f>IF(AC2025!L118="","",AC2025!L118)</f>
        <v/>
      </c>
      <c r="G119" s="227">
        <f>IF(AC2025!P118="","",AC2025!P118)</f>
        <v/>
      </c>
      <c r="H119" s="227">
        <f>IF(AC2025!O118="","",AC2025!O118)</f>
        <v/>
      </c>
      <c r="I119" s="227">
        <f>IF(AC2025!U118="","",AC2025!U118)</f>
        <v/>
      </c>
      <c r="J119" s="227">
        <f>IF(AC2025!X118="","",AC2025!X118)</f>
        <v/>
      </c>
      <c r="K119" s="227">
        <f>IF(AC2025!Y118="","",AC2025!Y118)</f>
        <v/>
      </c>
      <c r="L119" s="227">
        <f>IF(AC2025!Z118="","",AC2025!Z118)</f>
        <v/>
      </c>
      <c r="M119" s="227">
        <f>IF(AC2025!AA118="","",AC2025!AA118)</f>
        <v/>
      </c>
      <c r="N119" s="227">
        <f>IF(AC2025!AD118="","",AC2025!AD118)</f>
        <v/>
      </c>
      <c r="O119" s="227">
        <f>IF(AC2025!AE118="","",AC2025!AE118)</f>
        <v/>
      </c>
      <c r="P119" s="227">
        <f>IF(AC2025!AF118="","",AC2025!AF118)</f>
        <v/>
      </c>
      <c r="Q119" s="226">
        <f>IF(AC2025!AI118="","",AC2025!AI118)</f>
        <v/>
      </c>
      <c r="R119" s="227">
        <f>IF(AC2025!AM118="","",AC2025!AM118)</f>
        <v/>
      </c>
      <c r="S119" s="226">
        <f>IF(AC2025!AP118="","",AC2025!AP118)</f>
        <v/>
      </c>
      <c r="T119" s="227">
        <f>IF(AC2025!AT118="","",AC2025!AT118)</f>
        <v/>
      </c>
    </row>
    <row r="120">
      <c r="B120" s="226">
        <f>IF(AC2025!B119="","",AC2025!B119)</f>
        <v/>
      </c>
      <c r="C120" s="226">
        <f>IF(AC2025!E119="","",AC2025!E119)</f>
        <v/>
      </c>
      <c r="D120" s="227">
        <f>IF(AC2025!H119="","",AC2025!H119)</f>
        <v/>
      </c>
      <c r="E120" s="227">
        <f>IF(AC2025!K119="","",AC2025!K119)</f>
        <v/>
      </c>
      <c r="F120" s="227">
        <f>IF(AC2025!L119="","",AC2025!L119)</f>
        <v/>
      </c>
      <c r="G120" s="227">
        <f>IF(AC2025!P119="","",AC2025!P119)</f>
        <v/>
      </c>
      <c r="H120" s="227">
        <f>IF(AC2025!O119="","",AC2025!O119)</f>
        <v/>
      </c>
      <c r="I120" s="227">
        <f>IF(AC2025!U119="","",AC2025!U119)</f>
        <v/>
      </c>
      <c r="J120" s="227">
        <f>IF(AC2025!X119="","",AC2025!X119)</f>
        <v/>
      </c>
      <c r="K120" s="227">
        <f>IF(AC2025!Y119="","",AC2025!Y119)</f>
        <v/>
      </c>
      <c r="L120" s="227">
        <f>IF(AC2025!Z119="","",AC2025!Z119)</f>
        <v/>
      </c>
      <c r="M120" s="227">
        <f>IF(AC2025!AA119="","",AC2025!AA119)</f>
        <v/>
      </c>
      <c r="N120" s="227">
        <f>IF(AC2025!AD119="","",AC2025!AD119)</f>
        <v/>
      </c>
      <c r="O120" s="227">
        <f>IF(AC2025!AE119="","",AC2025!AE119)</f>
        <v/>
      </c>
      <c r="P120" s="227">
        <f>IF(AC2025!AF119="","",AC2025!AF119)</f>
        <v/>
      </c>
      <c r="Q120" s="226">
        <f>IF(AC2025!AI119="","",AC2025!AI119)</f>
        <v/>
      </c>
      <c r="R120" s="227">
        <f>IF(AC2025!AM119="","",AC2025!AM119)</f>
        <v/>
      </c>
      <c r="S120" s="226">
        <f>IF(AC2025!AP119="","",AC2025!AP119)</f>
        <v/>
      </c>
      <c r="T120" s="227">
        <f>IF(AC2025!AT119="","",AC2025!AT119)</f>
        <v/>
      </c>
    </row>
    <row r="121">
      <c r="B121" s="226">
        <f>IF(AC2025!B120="","",AC2025!B120)</f>
        <v/>
      </c>
      <c r="C121" s="226">
        <f>IF(AC2025!E120="","",AC2025!E120)</f>
        <v/>
      </c>
      <c r="D121" s="227">
        <f>IF(AC2025!H120="","",AC2025!H120)</f>
        <v/>
      </c>
      <c r="E121" s="227">
        <f>IF(AC2025!K120="","",AC2025!K120)</f>
        <v/>
      </c>
      <c r="F121" s="227">
        <f>IF(AC2025!L120="","",AC2025!L120)</f>
        <v/>
      </c>
      <c r="G121" s="227">
        <f>IF(AC2025!P120="","",AC2025!P120)</f>
        <v/>
      </c>
      <c r="H121" s="227">
        <f>IF(AC2025!O120="","",AC2025!O120)</f>
        <v/>
      </c>
      <c r="I121" s="227">
        <f>IF(AC2025!U120="","",AC2025!U120)</f>
        <v/>
      </c>
      <c r="J121" s="227">
        <f>IF(AC2025!X120="","",AC2025!X120)</f>
        <v/>
      </c>
      <c r="K121" s="227">
        <f>IF(AC2025!Y120="","",AC2025!Y120)</f>
        <v/>
      </c>
      <c r="L121" s="227">
        <f>IF(AC2025!Z120="","",AC2025!Z120)</f>
        <v/>
      </c>
      <c r="M121" s="227">
        <f>IF(AC2025!AA120="","",AC2025!AA120)</f>
        <v/>
      </c>
      <c r="N121" s="227">
        <f>IF(AC2025!AD120="","",AC2025!AD120)</f>
        <v/>
      </c>
      <c r="O121" s="227">
        <f>IF(AC2025!AE120="","",AC2025!AE120)</f>
        <v/>
      </c>
      <c r="P121" s="227">
        <f>IF(AC2025!AF120="","",AC2025!AF120)</f>
        <v/>
      </c>
      <c r="Q121" s="226">
        <f>IF(AC2025!AI120="","",AC2025!AI120)</f>
        <v/>
      </c>
      <c r="R121" s="227">
        <f>IF(AC2025!AM120="","",AC2025!AM120)</f>
        <v/>
      </c>
      <c r="S121" s="226">
        <f>IF(AC2025!AP120="","",AC2025!AP120)</f>
        <v/>
      </c>
      <c r="T121" s="227">
        <f>IF(AC2025!AT120="","",AC2025!AT120)</f>
        <v/>
      </c>
    </row>
    <row r="122">
      <c r="B122" s="226">
        <f>IF(AC2025!B121="","",AC2025!B121)</f>
        <v/>
      </c>
      <c r="C122" s="226">
        <f>IF(AC2025!E121="","",AC2025!E121)</f>
        <v/>
      </c>
      <c r="D122" s="227">
        <f>IF(AC2025!H121="","",AC2025!H121)</f>
        <v/>
      </c>
      <c r="E122" s="227">
        <f>IF(AC2025!K121="","",AC2025!K121)</f>
        <v/>
      </c>
      <c r="F122" s="227">
        <f>IF(AC2025!L121="","",AC2025!L121)</f>
        <v/>
      </c>
      <c r="G122" s="227">
        <f>IF(AC2025!P121="","",AC2025!P121)</f>
        <v/>
      </c>
      <c r="H122" s="227">
        <f>IF(AC2025!O121="","",AC2025!O121)</f>
        <v/>
      </c>
      <c r="I122" s="227">
        <f>IF(AC2025!U121="","",AC2025!U121)</f>
        <v/>
      </c>
      <c r="J122" s="227">
        <f>IF(AC2025!X121="","",AC2025!X121)</f>
        <v/>
      </c>
      <c r="K122" s="227">
        <f>IF(AC2025!Y121="","",AC2025!Y121)</f>
        <v/>
      </c>
      <c r="L122" s="227">
        <f>IF(AC2025!Z121="","",AC2025!Z121)</f>
        <v/>
      </c>
      <c r="M122" s="227">
        <f>IF(AC2025!AA121="","",AC2025!AA121)</f>
        <v/>
      </c>
      <c r="N122" s="227">
        <f>IF(AC2025!AD121="","",AC2025!AD121)</f>
        <v/>
      </c>
      <c r="O122" s="227">
        <f>IF(AC2025!AE121="","",AC2025!AE121)</f>
        <v/>
      </c>
      <c r="P122" s="227">
        <f>IF(AC2025!AF121="","",AC2025!AF121)</f>
        <v/>
      </c>
      <c r="Q122" s="226">
        <f>IF(AC2025!AI121="","",AC2025!AI121)</f>
        <v/>
      </c>
      <c r="R122" s="227">
        <f>IF(AC2025!AM121="","",AC2025!AM121)</f>
        <v/>
      </c>
      <c r="S122" s="226">
        <f>IF(AC2025!AP121="","",AC2025!AP121)</f>
        <v/>
      </c>
      <c r="T122" s="227">
        <f>IF(AC2025!AT121="","",AC2025!AT121)</f>
        <v/>
      </c>
    </row>
    <row r="123">
      <c r="B123" s="226">
        <f>IF(AC2025!B122="","",AC2025!B122)</f>
        <v/>
      </c>
      <c r="C123" s="226">
        <f>IF(AC2025!E122="","",AC2025!E122)</f>
        <v/>
      </c>
      <c r="D123" s="227">
        <f>IF(AC2025!H122="","",AC2025!H122)</f>
        <v/>
      </c>
      <c r="E123" s="227">
        <f>IF(AC2025!K122="","",AC2025!K122)</f>
        <v/>
      </c>
      <c r="F123" s="227">
        <f>IF(AC2025!L122="","",AC2025!L122)</f>
        <v/>
      </c>
      <c r="G123" s="227">
        <f>IF(AC2025!P122="","",AC2025!P122)</f>
        <v/>
      </c>
      <c r="H123" s="227">
        <f>IF(AC2025!O122="","",AC2025!O122)</f>
        <v/>
      </c>
      <c r="I123" s="227">
        <f>IF(AC2025!U122="","",AC2025!U122)</f>
        <v/>
      </c>
      <c r="J123" s="227">
        <f>IF(AC2025!X122="","",AC2025!X122)</f>
        <v/>
      </c>
      <c r="K123" s="227">
        <f>IF(AC2025!Y122="","",AC2025!Y122)</f>
        <v/>
      </c>
      <c r="L123" s="227">
        <f>IF(AC2025!Z122="","",AC2025!Z122)</f>
        <v/>
      </c>
      <c r="M123" s="227">
        <f>IF(AC2025!AA122="","",AC2025!AA122)</f>
        <v/>
      </c>
      <c r="N123" s="227">
        <f>IF(AC2025!AD122="","",AC2025!AD122)</f>
        <v/>
      </c>
      <c r="O123" s="227">
        <f>IF(AC2025!AE122="","",AC2025!AE122)</f>
        <v/>
      </c>
      <c r="P123" s="227">
        <f>IF(AC2025!AF122="","",AC2025!AF122)</f>
        <v/>
      </c>
      <c r="Q123" s="226">
        <f>IF(AC2025!AI122="","",AC2025!AI122)</f>
        <v/>
      </c>
      <c r="R123" s="227">
        <f>IF(AC2025!AM122="","",AC2025!AM122)</f>
        <v/>
      </c>
      <c r="S123" s="226">
        <f>IF(AC2025!AP122="","",AC2025!AP122)</f>
        <v/>
      </c>
      <c r="T123" s="227">
        <f>IF(AC2025!AT122="","",AC2025!AT122)</f>
        <v/>
      </c>
    </row>
    <row r="124">
      <c r="B124" s="226">
        <f>IF(AC2025!B123="","",AC2025!B123)</f>
        <v/>
      </c>
      <c r="C124" s="226">
        <f>IF(AC2025!E123="","",AC2025!E123)</f>
        <v/>
      </c>
      <c r="D124" s="227">
        <f>IF(AC2025!H123="","",AC2025!H123)</f>
        <v/>
      </c>
      <c r="E124" s="227">
        <f>IF(AC2025!K123="","",AC2025!K123)</f>
        <v/>
      </c>
      <c r="F124" s="227">
        <f>IF(AC2025!L123="","",AC2025!L123)</f>
        <v/>
      </c>
      <c r="G124" s="227">
        <f>IF(AC2025!P123="","",AC2025!P123)</f>
        <v/>
      </c>
      <c r="H124" s="227">
        <f>IF(AC2025!O123="","",AC2025!O123)</f>
        <v/>
      </c>
      <c r="I124" s="227">
        <f>IF(AC2025!U123="","",AC2025!U123)</f>
        <v/>
      </c>
      <c r="J124" s="227">
        <f>IF(AC2025!X123="","",AC2025!X123)</f>
        <v/>
      </c>
      <c r="K124" s="227">
        <f>IF(AC2025!Y123="","",AC2025!Y123)</f>
        <v/>
      </c>
      <c r="L124" s="227">
        <f>IF(AC2025!Z123="","",AC2025!Z123)</f>
        <v/>
      </c>
      <c r="M124" s="227">
        <f>IF(AC2025!AA123="","",AC2025!AA123)</f>
        <v/>
      </c>
      <c r="N124" s="227">
        <f>IF(AC2025!AD123="","",AC2025!AD123)</f>
        <v/>
      </c>
      <c r="O124" s="227">
        <f>IF(AC2025!AE123="","",AC2025!AE123)</f>
        <v/>
      </c>
      <c r="P124" s="227">
        <f>IF(AC2025!AF123="","",AC2025!AF123)</f>
        <v/>
      </c>
      <c r="Q124" s="226">
        <f>IF(AC2025!AI123="","",AC2025!AI123)</f>
        <v/>
      </c>
      <c r="R124" s="227">
        <f>IF(AC2025!AM123="","",AC2025!AM123)</f>
        <v/>
      </c>
      <c r="S124" s="226">
        <f>IF(AC2025!AP123="","",AC2025!AP123)</f>
        <v/>
      </c>
      <c r="T124" s="227">
        <f>IF(AC2025!AT123="","",AC2025!AT123)</f>
        <v/>
      </c>
    </row>
    <row r="125">
      <c r="B125" s="226">
        <f>IF(AC2025!B124="","",AC2025!B124)</f>
        <v/>
      </c>
      <c r="C125" s="226">
        <f>IF(AC2025!E124="","",AC2025!E124)</f>
        <v/>
      </c>
      <c r="D125" s="227">
        <f>IF(AC2025!H124="","",AC2025!H124)</f>
        <v/>
      </c>
      <c r="E125" s="227">
        <f>IF(AC2025!K124="","",AC2025!K124)</f>
        <v/>
      </c>
      <c r="F125" s="227">
        <f>IF(AC2025!L124="","",AC2025!L124)</f>
        <v/>
      </c>
      <c r="G125" s="227">
        <f>IF(AC2025!P124="","",AC2025!P124)</f>
        <v/>
      </c>
      <c r="H125" s="227">
        <f>IF(AC2025!O124="","",AC2025!O124)</f>
        <v/>
      </c>
      <c r="I125" s="227">
        <f>IF(AC2025!U124="","",AC2025!U124)</f>
        <v/>
      </c>
      <c r="J125" s="227">
        <f>IF(AC2025!X124="","",AC2025!X124)</f>
        <v/>
      </c>
      <c r="K125" s="227">
        <f>IF(AC2025!Y124="","",AC2025!Y124)</f>
        <v/>
      </c>
      <c r="L125" s="227">
        <f>IF(AC2025!Z124="","",AC2025!Z124)</f>
        <v/>
      </c>
      <c r="M125" s="227">
        <f>IF(AC2025!AA124="","",AC2025!AA124)</f>
        <v/>
      </c>
      <c r="N125" s="227">
        <f>IF(AC2025!AD124="","",AC2025!AD124)</f>
        <v/>
      </c>
      <c r="O125" s="227">
        <f>IF(AC2025!AE124="","",AC2025!AE124)</f>
        <v/>
      </c>
      <c r="P125" s="227">
        <f>IF(AC2025!AF124="","",AC2025!AF124)</f>
        <v/>
      </c>
      <c r="Q125" s="226">
        <f>IF(AC2025!AI124="","",AC2025!AI124)</f>
        <v/>
      </c>
      <c r="R125" s="227">
        <f>IF(AC2025!AM124="","",AC2025!AM124)</f>
        <v/>
      </c>
      <c r="S125" s="226">
        <f>IF(AC2025!AP124="","",AC2025!AP124)</f>
        <v/>
      </c>
      <c r="T125" s="227">
        <f>IF(AC2025!AT124="","",AC2025!AT124)</f>
        <v/>
      </c>
    </row>
    <row r="126">
      <c r="B126" s="226">
        <f>IF(AC2025!B125="","",AC2025!B125)</f>
        <v/>
      </c>
      <c r="C126" s="226">
        <f>IF(AC2025!E125="","",AC2025!E125)</f>
        <v/>
      </c>
      <c r="D126" s="227">
        <f>IF(AC2025!H125="","",AC2025!H125)</f>
        <v/>
      </c>
      <c r="E126" s="227">
        <f>IF(AC2025!K125="","",AC2025!K125)</f>
        <v/>
      </c>
      <c r="F126" s="227">
        <f>IF(AC2025!L125="","",AC2025!L125)</f>
        <v/>
      </c>
      <c r="G126" s="227">
        <f>IF(AC2025!P125="","",AC2025!P125)</f>
        <v/>
      </c>
      <c r="H126" s="227">
        <f>IF(AC2025!O125="","",AC2025!O125)</f>
        <v/>
      </c>
      <c r="I126" s="227">
        <f>IF(AC2025!U125="","",AC2025!U125)</f>
        <v/>
      </c>
      <c r="J126" s="227">
        <f>IF(AC2025!X125="","",AC2025!X125)</f>
        <v/>
      </c>
      <c r="K126" s="227">
        <f>IF(AC2025!Y125="","",AC2025!Y125)</f>
        <v/>
      </c>
      <c r="L126" s="227">
        <f>IF(AC2025!Z125="","",AC2025!Z125)</f>
        <v/>
      </c>
      <c r="M126" s="227">
        <f>IF(AC2025!AA125="","",AC2025!AA125)</f>
        <v/>
      </c>
      <c r="N126" s="227">
        <f>IF(AC2025!AD125="","",AC2025!AD125)</f>
        <v/>
      </c>
      <c r="O126" s="227">
        <f>IF(AC2025!AE125="","",AC2025!AE125)</f>
        <v/>
      </c>
      <c r="P126" s="227">
        <f>IF(AC2025!AF125="","",AC2025!AF125)</f>
        <v/>
      </c>
      <c r="Q126" s="226">
        <f>IF(AC2025!AI125="","",AC2025!AI125)</f>
        <v/>
      </c>
      <c r="R126" s="227">
        <f>IF(AC2025!AM125="","",AC2025!AM125)</f>
        <v/>
      </c>
      <c r="S126" s="226">
        <f>IF(AC2025!AP125="","",AC2025!AP125)</f>
        <v/>
      </c>
      <c r="T126" s="227">
        <f>IF(AC2025!AT125="","",AC2025!AT125)</f>
        <v/>
      </c>
    </row>
    <row r="127">
      <c r="B127" s="226">
        <f>IF(AC2025!B126="","",AC2025!B126)</f>
        <v/>
      </c>
      <c r="C127" s="226">
        <f>IF(AC2025!E126="","",AC2025!E126)</f>
        <v/>
      </c>
      <c r="D127" s="227">
        <f>IF(AC2025!H126="","",AC2025!H126)</f>
        <v/>
      </c>
      <c r="E127" s="227">
        <f>IF(AC2025!K126="","",AC2025!K126)</f>
        <v/>
      </c>
      <c r="F127" s="227">
        <f>IF(AC2025!L126="","",AC2025!L126)</f>
        <v/>
      </c>
      <c r="G127" s="227">
        <f>IF(AC2025!P126="","",AC2025!P126)</f>
        <v/>
      </c>
      <c r="H127" s="227">
        <f>IF(AC2025!O126="","",AC2025!O126)</f>
        <v/>
      </c>
      <c r="I127" s="227">
        <f>IF(AC2025!U126="","",AC2025!U126)</f>
        <v/>
      </c>
      <c r="J127" s="227">
        <f>IF(AC2025!X126="","",AC2025!X126)</f>
        <v/>
      </c>
      <c r="K127" s="227">
        <f>IF(AC2025!Y126="","",AC2025!Y126)</f>
        <v/>
      </c>
      <c r="L127" s="227">
        <f>IF(AC2025!Z126="","",AC2025!Z126)</f>
        <v/>
      </c>
      <c r="M127" s="227">
        <f>IF(AC2025!AA126="","",AC2025!AA126)</f>
        <v/>
      </c>
      <c r="N127" s="227">
        <f>IF(AC2025!AD126="","",AC2025!AD126)</f>
        <v/>
      </c>
      <c r="O127" s="227">
        <f>IF(AC2025!AE126="","",AC2025!AE126)</f>
        <v/>
      </c>
      <c r="P127" s="227">
        <f>IF(AC2025!AF126="","",AC2025!AF126)</f>
        <v/>
      </c>
      <c r="Q127" s="226">
        <f>IF(AC2025!AI126="","",AC2025!AI126)</f>
        <v/>
      </c>
      <c r="R127" s="227">
        <f>IF(AC2025!AM126="","",AC2025!AM126)</f>
        <v/>
      </c>
      <c r="S127" s="226">
        <f>IF(AC2025!AP126="","",AC2025!AP126)</f>
        <v/>
      </c>
      <c r="T127" s="227">
        <f>IF(AC2025!AT126="","",AC2025!AT126)</f>
        <v/>
      </c>
    </row>
    <row r="128">
      <c r="B128" s="226">
        <f>IF(AC2025!B127="","",AC2025!B127)</f>
        <v/>
      </c>
      <c r="C128" s="226">
        <f>IF(AC2025!E127="","",AC2025!E127)</f>
        <v/>
      </c>
      <c r="D128" s="227">
        <f>IF(AC2025!H127="","",AC2025!H127)</f>
        <v/>
      </c>
      <c r="E128" s="227">
        <f>IF(AC2025!K127="","",AC2025!K127)</f>
        <v/>
      </c>
      <c r="F128" s="227">
        <f>IF(AC2025!L127="","",AC2025!L127)</f>
        <v/>
      </c>
      <c r="G128" s="227">
        <f>IF(AC2025!P127="","",AC2025!P127)</f>
        <v/>
      </c>
      <c r="H128" s="227">
        <f>IF(AC2025!O127="","",AC2025!O127)</f>
        <v/>
      </c>
      <c r="I128" s="227">
        <f>IF(AC2025!U127="","",AC2025!U127)</f>
        <v/>
      </c>
      <c r="J128" s="227">
        <f>IF(AC2025!X127="","",AC2025!X127)</f>
        <v/>
      </c>
      <c r="K128" s="227">
        <f>IF(AC2025!Y127="","",AC2025!Y127)</f>
        <v/>
      </c>
      <c r="L128" s="227">
        <f>IF(AC2025!Z127="","",AC2025!Z127)</f>
        <v/>
      </c>
      <c r="M128" s="227">
        <f>IF(AC2025!AA127="","",AC2025!AA127)</f>
        <v/>
      </c>
      <c r="N128" s="227">
        <f>IF(AC2025!AD127="","",AC2025!AD127)</f>
        <v/>
      </c>
      <c r="O128" s="227">
        <f>IF(AC2025!AE127="","",AC2025!AE127)</f>
        <v/>
      </c>
      <c r="P128" s="227">
        <f>IF(AC2025!AF127="","",AC2025!AF127)</f>
        <v/>
      </c>
      <c r="Q128" s="226">
        <f>IF(AC2025!AI127="","",AC2025!AI127)</f>
        <v/>
      </c>
      <c r="R128" s="227">
        <f>IF(AC2025!AM127="","",AC2025!AM127)</f>
        <v/>
      </c>
      <c r="S128" s="226">
        <f>IF(AC2025!AP127="","",AC2025!AP127)</f>
        <v/>
      </c>
      <c r="T128" s="227">
        <f>IF(AC2025!AT127="","",AC2025!AT127)</f>
        <v/>
      </c>
    </row>
    <row r="129">
      <c r="B129" s="226">
        <f>IF(AC2025!B128="","",AC2025!B128)</f>
        <v/>
      </c>
      <c r="C129" s="226">
        <f>IF(AC2025!E128="","",AC2025!E128)</f>
        <v/>
      </c>
      <c r="D129" s="227">
        <f>IF(AC2025!H128="","",AC2025!H128)</f>
        <v/>
      </c>
      <c r="E129" s="227">
        <f>IF(AC2025!K128="","",AC2025!K128)</f>
        <v/>
      </c>
      <c r="F129" s="227">
        <f>IF(AC2025!L128="","",AC2025!L128)</f>
        <v/>
      </c>
      <c r="G129" s="227">
        <f>IF(AC2025!P128="","",AC2025!P128)</f>
        <v/>
      </c>
      <c r="H129" s="227">
        <f>IF(AC2025!O128="","",AC2025!O128)</f>
        <v/>
      </c>
      <c r="I129" s="227">
        <f>IF(AC2025!U128="","",AC2025!U128)</f>
        <v/>
      </c>
      <c r="J129" s="227">
        <f>IF(AC2025!X128="","",AC2025!X128)</f>
        <v/>
      </c>
      <c r="K129" s="227">
        <f>IF(AC2025!Y128="","",AC2025!Y128)</f>
        <v/>
      </c>
      <c r="L129" s="227">
        <f>IF(AC2025!Z128="","",AC2025!Z128)</f>
        <v/>
      </c>
      <c r="M129" s="227">
        <f>IF(AC2025!AA128="","",AC2025!AA128)</f>
        <v/>
      </c>
      <c r="N129" s="227">
        <f>IF(AC2025!AD128="","",AC2025!AD128)</f>
        <v/>
      </c>
      <c r="O129" s="227">
        <f>IF(AC2025!AE128="","",AC2025!AE128)</f>
        <v/>
      </c>
      <c r="P129" s="227">
        <f>IF(AC2025!AF128="","",AC2025!AF128)</f>
        <v/>
      </c>
      <c r="Q129" s="226">
        <f>IF(AC2025!AI128="","",AC2025!AI128)</f>
        <v/>
      </c>
      <c r="R129" s="227">
        <f>IF(AC2025!AM128="","",AC2025!AM128)</f>
        <v/>
      </c>
      <c r="S129" s="226">
        <f>IF(AC2025!AP128="","",AC2025!AP128)</f>
        <v/>
      </c>
      <c r="T129" s="227">
        <f>IF(AC2025!AT128="","",AC2025!AT128)</f>
        <v/>
      </c>
    </row>
    <row r="130">
      <c r="B130" s="226">
        <f>IF(AC2025!B129="","",AC2025!B129)</f>
        <v/>
      </c>
      <c r="C130" s="226">
        <f>IF(AC2025!E129="","",AC2025!E129)</f>
        <v/>
      </c>
      <c r="D130" s="227">
        <f>IF(AC2025!H129="","",AC2025!H129)</f>
        <v/>
      </c>
      <c r="E130" s="227">
        <f>IF(AC2025!K129="","",AC2025!K129)</f>
        <v/>
      </c>
      <c r="F130" s="227">
        <f>IF(AC2025!L129="","",AC2025!L129)</f>
        <v/>
      </c>
      <c r="G130" s="227">
        <f>IF(AC2025!P129="","",AC2025!P129)</f>
        <v/>
      </c>
      <c r="H130" s="227">
        <f>IF(AC2025!O129="","",AC2025!O129)</f>
        <v/>
      </c>
      <c r="I130" s="227">
        <f>IF(AC2025!U129="","",AC2025!U129)</f>
        <v/>
      </c>
      <c r="J130" s="227">
        <f>IF(AC2025!X129="","",AC2025!X129)</f>
        <v/>
      </c>
      <c r="K130" s="227">
        <f>IF(AC2025!Y129="","",AC2025!Y129)</f>
        <v/>
      </c>
      <c r="L130" s="227">
        <f>IF(AC2025!Z129="","",AC2025!Z129)</f>
        <v/>
      </c>
      <c r="M130" s="227">
        <f>IF(AC2025!AA129="","",AC2025!AA129)</f>
        <v/>
      </c>
      <c r="N130" s="227">
        <f>IF(AC2025!AD129="","",AC2025!AD129)</f>
        <v/>
      </c>
      <c r="O130" s="227">
        <f>IF(AC2025!AE129="","",AC2025!AE129)</f>
        <v/>
      </c>
      <c r="P130" s="227">
        <f>IF(AC2025!AF129="","",AC2025!AF129)</f>
        <v/>
      </c>
      <c r="Q130" s="226">
        <f>IF(AC2025!AI129="","",AC2025!AI129)</f>
        <v/>
      </c>
      <c r="R130" s="227">
        <f>IF(AC2025!AM129="","",AC2025!AM129)</f>
        <v/>
      </c>
      <c r="S130" s="226">
        <f>IF(AC2025!AP129="","",AC2025!AP129)</f>
        <v/>
      </c>
      <c r="T130" s="227">
        <f>IF(AC2025!AT129="","",AC2025!AT129)</f>
        <v/>
      </c>
    </row>
    <row r="131">
      <c r="B131" s="226">
        <f>IF(AC2025!B130="","",AC2025!B130)</f>
        <v/>
      </c>
      <c r="C131" s="226">
        <f>IF(AC2025!E130="","",AC2025!E130)</f>
        <v/>
      </c>
      <c r="D131" s="227">
        <f>IF(AC2025!H130="","",AC2025!H130)</f>
        <v/>
      </c>
      <c r="E131" s="227">
        <f>IF(AC2025!K130="","",AC2025!K130)</f>
        <v/>
      </c>
      <c r="F131" s="227">
        <f>IF(AC2025!L130="","",AC2025!L130)</f>
        <v/>
      </c>
      <c r="G131" s="227">
        <f>IF(AC2025!P130="","",AC2025!P130)</f>
        <v/>
      </c>
      <c r="H131" s="227">
        <f>IF(AC2025!O130="","",AC2025!O130)</f>
        <v/>
      </c>
      <c r="I131" s="227">
        <f>IF(AC2025!U130="","",AC2025!U130)</f>
        <v/>
      </c>
      <c r="J131" s="227">
        <f>IF(AC2025!X130="","",AC2025!X130)</f>
        <v/>
      </c>
      <c r="K131" s="227">
        <f>IF(AC2025!Y130="","",AC2025!Y130)</f>
        <v/>
      </c>
      <c r="L131" s="227">
        <f>IF(AC2025!Z130="","",AC2025!Z130)</f>
        <v/>
      </c>
      <c r="M131" s="227">
        <f>IF(AC2025!AA130="","",AC2025!AA130)</f>
        <v/>
      </c>
      <c r="N131" s="227">
        <f>IF(AC2025!AD130="","",AC2025!AD130)</f>
        <v/>
      </c>
      <c r="O131" s="227">
        <f>IF(AC2025!AE130="","",AC2025!AE130)</f>
        <v/>
      </c>
      <c r="P131" s="227">
        <f>IF(AC2025!AF130="","",AC2025!AF130)</f>
        <v/>
      </c>
      <c r="Q131" s="226">
        <f>IF(AC2025!AI130="","",AC2025!AI130)</f>
        <v/>
      </c>
      <c r="R131" s="227">
        <f>IF(AC2025!AM130="","",AC2025!AM130)</f>
        <v/>
      </c>
      <c r="S131" s="226">
        <f>IF(AC2025!AP130="","",AC2025!AP130)</f>
        <v/>
      </c>
      <c r="T131" s="227">
        <f>IF(AC2025!AT130="","",AC2025!AT130)</f>
        <v/>
      </c>
    </row>
    <row r="132">
      <c r="B132" s="226">
        <f>IF(AC2025!B131="","",AC2025!B131)</f>
        <v/>
      </c>
      <c r="C132" s="226">
        <f>IF(AC2025!E131="","",AC2025!E131)</f>
        <v/>
      </c>
      <c r="D132" s="227">
        <f>IF(AC2025!H131="","",AC2025!H131)</f>
        <v/>
      </c>
      <c r="E132" s="227">
        <f>IF(AC2025!K131="","",AC2025!K131)</f>
        <v/>
      </c>
      <c r="F132" s="227">
        <f>IF(AC2025!L131="","",AC2025!L131)</f>
        <v/>
      </c>
      <c r="G132" s="227">
        <f>IF(AC2025!P131="","",AC2025!P131)</f>
        <v/>
      </c>
      <c r="H132" s="227">
        <f>IF(AC2025!O131="","",AC2025!O131)</f>
        <v/>
      </c>
      <c r="I132" s="227">
        <f>IF(AC2025!U131="","",AC2025!U131)</f>
        <v/>
      </c>
      <c r="J132" s="227">
        <f>IF(AC2025!X131="","",AC2025!X131)</f>
        <v/>
      </c>
      <c r="K132" s="227">
        <f>IF(AC2025!Y131="","",AC2025!Y131)</f>
        <v/>
      </c>
      <c r="L132" s="227">
        <f>IF(AC2025!Z131="","",AC2025!Z131)</f>
        <v/>
      </c>
      <c r="M132" s="227">
        <f>IF(AC2025!AA131="","",AC2025!AA131)</f>
        <v/>
      </c>
      <c r="N132" s="227">
        <f>IF(AC2025!AD131="","",AC2025!AD131)</f>
        <v/>
      </c>
      <c r="O132" s="227">
        <f>IF(AC2025!AE131="","",AC2025!AE131)</f>
        <v/>
      </c>
      <c r="P132" s="227">
        <f>IF(AC2025!AF131="","",AC2025!AF131)</f>
        <v/>
      </c>
      <c r="Q132" s="226">
        <f>IF(AC2025!AI131="","",AC2025!AI131)</f>
        <v/>
      </c>
      <c r="R132" s="227">
        <f>IF(AC2025!AM131="","",AC2025!AM131)</f>
        <v/>
      </c>
      <c r="S132" s="226">
        <f>IF(AC2025!AP131="","",AC2025!AP131)</f>
        <v/>
      </c>
      <c r="T132" s="227">
        <f>IF(AC2025!AT131="","",AC2025!AT131)</f>
        <v/>
      </c>
    </row>
    <row r="133">
      <c r="B133" s="226">
        <f>IF(AC2025!B132="","",AC2025!B132)</f>
        <v/>
      </c>
      <c r="C133" s="226">
        <f>IF(AC2025!E132="","",AC2025!E132)</f>
        <v/>
      </c>
      <c r="D133" s="227">
        <f>IF(AC2025!H132="","",AC2025!H132)</f>
        <v/>
      </c>
      <c r="E133" s="227">
        <f>IF(AC2025!K132="","",AC2025!K132)</f>
        <v/>
      </c>
      <c r="F133" s="227">
        <f>IF(AC2025!L132="","",AC2025!L132)</f>
        <v/>
      </c>
      <c r="G133" s="227">
        <f>IF(AC2025!P132="","",AC2025!P132)</f>
        <v/>
      </c>
      <c r="H133" s="227">
        <f>IF(AC2025!O132="","",AC2025!O132)</f>
        <v/>
      </c>
      <c r="I133" s="227">
        <f>IF(AC2025!U132="","",AC2025!U132)</f>
        <v/>
      </c>
      <c r="J133" s="227">
        <f>IF(AC2025!X132="","",AC2025!X132)</f>
        <v/>
      </c>
      <c r="K133" s="227">
        <f>IF(AC2025!Y132="","",AC2025!Y132)</f>
        <v/>
      </c>
      <c r="L133" s="227">
        <f>IF(AC2025!Z132="","",AC2025!Z132)</f>
        <v/>
      </c>
      <c r="M133" s="227">
        <f>IF(AC2025!AA132="","",AC2025!AA132)</f>
        <v/>
      </c>
      <c r="N133" s="227">
        <f>IF(AC2025!AD132="","",AC2025!AD132)</f>
        <v/>
      </c>
      <c r="O133" s="227">
        <f>IF(AC2025!AE132="","",AC2025!AE132)</f>
        <v/>
      </c>
      <c r="P133" s="227">
        <f>IF(AC2025!AF132="","",AC2025!AF132)</f>
        <v/>
      </c>
      <c r="Q133" s="226">
        <f>IF(AC2025!AI132="","",AC2025!AI132)</f>
        <v/>
      </c>
      <c r="R133" s="227">
        <f>IF(AC2025!AM132="","",AC2025!AM132)</f>
        <v/>
      </c>
      <c r="S133" s="226">
        <f>IF(AC2025!AP132="","",AC2025!AP132)</f>
        <v/>
      </c>
      <c r="T133" s="227">
        <f>IF(AC2025!AT132="","",AC2025!AT132)</f>
        <v/>
      </c>
    </row>
    <row r="134">
      <c r="B134" s="226">
        <f>IF(AC2025!B133="","",AC2025!B133)</f>
        <v/>
      </c>
      <c r="C134" s="226">
        <f>IF(AC2025!E133="","",AC2025!E133)</f>
        <v/>
      </c>
      <c r="D134" s="227">
        <f>IF(AC2025!H133="","",AC2025!H133)</f>
        <v/>
      </c>
      <c r="E134" s="227">
        <f>IF(AC2025!K133="","",AC2025!K133)</f>
        <v/>
      </c>
      <c r="F134" s="227">
        <f>IF(AC2025!L133="","",AC2025!L133)</f>
        <v/>
      </c>
      <c r="G134" s="227">
        <f>IF(AC2025!P133="","",AC2025!P133)</f>
        <v/>
      </c>
      <c r="H134" s="227">
        <f>IF(AC2025!O133="","",AC2025!O133)</f>
        <v/>
      </c>
      <c r="I134" s="227">
        <f>IF(AC2025!U133="","",AC2025!U133)</f>
        <v/>
      </c>
      <c r="J134" s="227">
        <f>IF(AC2025!X133="","",AC2025!X133)</f>
        <v/>
      </c>
      <c r="K134" s="227">
        <f>IF(AC2025!Y133="","",AC2025!Y133)</f>
        <v/>
      </c>
      <c r="L134" s="227">
        <f>IF(AC2025!Z133="","",AC2025!Z133)</f>
        <v/>
      </c>
      <c r="M134" s="227">
        <f>IF(AC2025!AA133="","",AC2025!AA133)</f>
        <v/>
      </c>
      <c r="N134" s="227">
        <f>IF(AC2025!AD133="","",AC2025!AD133)</f>
        <v/>
      </c>
      <c r="O134" s="227">
        <f>IF(AC2025!AE133="","",AC2025!AE133)</f>
        <v/>
      </c>
      <c r="P134" s="227">
        <f>IF(AC2025!AF133="","",AC2025!AF133)</f>
        <v/>
      </c>
      <c r="Q134" s="226">
        <f>IF(AC2025!AI133="","",AC2025!AI133)</f>
        <v/>
      </c>
      <c r="R134" s="227">
        <f>IF(AC2025!AM133="","",AC2025!AM133)</f>
        <v/>
      </c>
      <c r="S134" s="226">
        <f>IF(AC2025!AP133="","",AC2025!AP133)</f>
        <v/>
      </c>
      <c r="T134" s="227">
        <f>IF(AC2025!AT133="","",AC2025!AT133)</f>
        <v/>
      </c>
    </row>
    <row r="135">
      <c r="B135" s="226">
        <f>IF(AC2025!B134="","",AC2025!B134)</f>
        <v/>
      </c>
      <c r="C135" s="226">
        <f>IF(AC2025!E134="","",AC2025!E134)</f>
        <v/>
      </c>
      <c r="D135" s="227">
        <f>IF(AC2025!H134="","",AC2025!H134)</f>
        <v/>
      </c>
      <c r="E135" s="227">
        <f>IF(AC2025!K134="","",AC2025!K134)</f>
        <v/>
      </c>
      <c r="F135" s="227">
        <f>IF(AC2025!L134="","",AC2025!L134)</f>
        <v/>
      </c>
      <c r="G135" s="227">
        <f>IF(AC2025!P134="","",AC2025!P134)</f>
        <v/>
      </c>
      <c r="H135" s="227">
        <f>IF(AC2025!O134="","",AC2025!O134)</f>
        <v/>
      </c>
      <c r="I135" s="227">
        <f>IF(AC2025!U134="","",AC2025!U134)</f>
        <v/>
      </c>
      <c r="J135" s="227">
        <f>IF(AC2025!X134="","",AC2025!X134)</f>
        <v/>
      </c>
      <c r="K135" s="227">
        <f>IF(AC2025!Y134="","",AC2025!Y134)</f>
        <v/>
      </c>
      <c r="L135" s="227">
        <f>IF(AC2025!Z134="","",AC2025!Z134)</f>
        <v/>
      </c>
      <c r="M135" s="227">
        <f>IF(AC2025!AA134="","",AC2025!AA134)</f>
        <v/>
      </c>
      <c r="N135" s="227">
        <f>IF(AC2025!AD134="","",AC2025!AD134)</f>
        <v/>
      </c>
      <c r="O135" s="227">
        <f>IF(AC2025!AE134="","",AC2025!AE134)</f>
        <v/>
      </c>
      <c r="P135" s="227">
        <f>IF(AC2025!AF134="","",AC2025!AF134)</f>
        <v/>
      </c>
      <c r="Q135" s="226">
        <f>IF(AC2025!AI134="","",AC2025!AI134)</f>
        <v/>
      </c>
      <c r="R135" s="227">
        <f>IF(AC2025!AM134="","",AC2025!AM134)</f>
        <v/>
      </c>
      <c r="S135" s="226">
        <f>IF(AC2025!AP134="","",AC2025!AP134)</f>
        <v/>
      </c>
      <c r="T135" s="227">
        <f>IF(AC2025!AT134="","",AC2025!AT134)</f>
        <v/>
      </c>
    </row>
    <row r="136">
      <c r="B136" s="226">
        <f>IF(AC2025!B135="","",AC2025!B135)</f>
        <v/>
      </c>
      <c r="C136" s="226">
        <f>IF(AC2025!E135="","",AC2025!E135)</f>
        <v/>
      </c>
      <c r="D136" s="227">
        <f>IF(AC2025!H135="","",AC2025!H135)</f>
        <v/>
      </c>
      <c r="E136" s="227">
        <f>IF(AC2025!K135="","",AC2025!K135)</f>
        <v/>
      </c>
      <c r="F136" s="227">
        <f>IF(AC2025!L135="","",AC2025!L135)</f>
        <v/>
      </c>
      <c r="G136" s="227">
        <f>IF(AC2025!P135="","",AC2025!P135)</f>
        <v/>
      </c>
      <c r="H136" s="227">
        <f>IF(AC2025!O135="","",AC2025!O135)</f>
        <v/>
      </c>
      <c r="I136" s="227">
        <f>IF(AC2025!U135="","",AC2025!U135)</f>
        <v/>
      </c>
      <c r="J136" s="227">
        <f>IF(AC2025!X135="","",AC2025!X135)</f>
        <v/>
      </c>
      <c r="K136" s="227">
        <f>IF(AC2025!Y135="","",AC2025!Y135)</f>
        <v/>
      </c>
      <c r="L136" s="227">
        <f>IF(AC2025!Z135="","",AC2025!Z135)</f>
        <v/>
      </c>
      <c r="M136" s="227">
        <f>IF(AC2025!AA135="","",AC2025!AA135)</f>
        <v/>
      </c>
      <c r="N136" s="227">
        <f>IF(AC2025!AD135="","",AC2025!AD135)</f>
        <v/>
      </c>
      <c r="O136" s="227">
        <f>IF(AC2025!AE135="","",AC2025!AE135)</f>
        <v/>
      </c>
      <c r="P136" s="227">
        <f>IF(AC2025!AF135="","",AC2025!AF135)</f>
        <v/>
      </c>
      <c r="Q136" s="226">
        <f>IF(AC2025!AI135="","",AC2025!AI135)</f>
        <v/>
      </c>
      <c r="R136" s="227">
        <f>IF(AC2025!AM135="","",AC2025!AM135)</f>
        <v/>
      </c>
      <c r="S136" s="226">
        <f>IF(AC2025!AP135="","",AC2025!AP135)</f>
        <v/>
      </c>
      <c r="T136" s="227">
        <f>IF(AC2025!AT135="","",AC2025!AT135)</f>
        <v/>
      </c>
    </row>
    <row r="137">
      <c r="B137" s="226">
        <f>IF(AC2025!B136="","",AC2025!B136)</f>
        <v/>
      </c>
      <c r="C137" s="226">
        <f>IF(AC2025!E136="","",AC2025!E136)</f>
        <v/>
      </c>
      <c r="D137" s="227">
        <f>IF(AC2025!H136="","",AC2025!H136)</f>
        <v/>
      </c>
      <c r="E137" s="227">
        <f>IF(AC2025!K136="","",AC2025!K136)</f>
        <v/>
      </c>
      <c r="F137" s="227">
        <f>IF(AC2025!L136="","",AC2025!L136)</f>
        <v/>
      </c>
      <c r="G137" s="227">
        <f>IF(AC2025!P136="","",AC2025!P136)</f>
        <v/>
      </c>
      <c r="H137" s="227">
        <f>IF(AC2025!O136="","",AC2025!O136)</f>
        <v/>
      </c>
      <c r="I137" s="227">
        <f>IF(AC2025!U136="","",AC2025!U136)</f>
        <v/>
      </c>
      <c r="J137" s="227">
        <f>IF(AC2025!X136="","",AC2025!X136)</f>
        <v/>
      </c>
      <c r="K137" s="227">
        <f>IF(AC2025!Y136="","",AC2025!Y136)</f>
        <v/>
      </c>
      <c r="L137" s="227">
        <f>IF(AC2025!Z136="","",AC2025!Z136)</f>
        <v/>
      </c>
      <c r="M137" s="227">
        <f>IF(AC2025!AA136="","",AC2025!AA136)</f>
        <v/>
      </c>
      <c r="N137" s="227">
        <f>IF(AC2025!AD136="","",AC2025!AD136)</f>
        <v/>
      </c>
      <c r="O137" s="227">
        <f>IF(AC2025!AE136="","",AC2025!AE136)</f>
        <v/>
      </c>
      <c r="P137" s="227">
        <f>IF(AC2025!AF136="","",AC2025!AF136)</f>
        <v/>
      </c>
      <c r="Q137" s="226">
        <f>IF(AC2025!AI136="","",AC2025!AI136)</f>
        <v/>
      </c>
      <c r="R137" s="227">
        <f>IF(AC2025!AM136="","",AC2025!AM136)</f>
        <v/>
      </c>
      <c r="S137" s="226">
        <f>IF(AC2025!AP136="","",AC2025!AP136)</f>
        <v/>
      </c>
      <c r="T137" s="227">
        <f>IF(AC2025!AT136="","",AC2025!AT136)</f>
        <v/>
      </c>
    </row>
    <row r="138">
      <c r="B138" s="226">
        <f>IF(AC2025!B137="","",AC2025!B137)</f>
        <v/>
      </c>
      <c r="C138" s="226">
        <f>IF(AC2025!E137="","",AC2025!E137)</f>
        <v/>
      </c>
      <c r="D138" s="227">
        <f>IF(AC2025!H137="","",AC2025!H137)</f>
        <v/>
      </c>
      <c r="E138" s="227">
        <f>IF(AC2025!K137="","",AC2025!K137)</f>
        <v/>
      </c>
      <c r="F138" s="227">
        <f>IF(AC2025!L137="","",AC2025!L137)</f>
        <v/>
      </c>
      <c r="G138" s="227">
        <f>IF(AC2025!P137="","",AC2025!P137)</f>
        <v/>
      </c>
      <c r="H138" s="227">
        <f>IF(AC2025!O137="","",AC2025!O137)</f>
        <v/>
      </c>
      <c r="I138" s="227">
        <f>IF(AC2025!U137="","",AC2025!U137)</f>
        <v/>
      </c>
      <c r="J138" s="227">
        <f>IF(AC2025!X137="","",AC2025!X137)</f>
        <v/>
      </c>
      <c r="K138" s="227">
        <f>IF(AC2025!Y137="","",AC2025!Y137)</f>
        <v/>
      </c>
      <c r="L138" s="227">
        <f>IF(AC2025!Z137="","",AC2025!Z137)</f>
        <v/>
      </c>
      <c r="M138" s="227">
        <f>IF(AC2025!AA137="","",AC2025!AA137)</f>
        <v/>
      </c>
      <c r="N138" s="227">
        <f>IF(AC2025!AD137="","",AC2025!AD137)</f>
        <v/>
      </c>
      <c r="O138" s="227">
        <f>IF(AC2025!AE137="","",AC2025!AE137)</f>
        <v/>
      </c>
      <c r="P138" s="227">
        <f>IF(AC2025!AF137="","",AC2025!AF137)</f>
        <v/>
      </c>
      <c r="Q138" s="226">
        <f>IF(AC2025!AI137="","",AC2025!AI137)</f>
        <v/>
      </c>
      <c r="R138" s="227">
        <f>IF(AC2025!AM137="","",AC2025!AM137)</f>
        <v/>
      </c>
      <c r="S138" s="226">
        <f>IF(AC2025!AP137="","",AC2025!AP137)</f>
        <v/>
      </c>
      <c r="T138" s="227">
        <f>IF(AC2025!AT137="","",AC2025!AT137)</f>
        <v/>
      </c>
    </row>
    <row r="139">
      <c r="B139" s="226">
        <f>IF(AC2025!B138="","",AC2025!B138)</f>
        <v/>
      </c>
      <c r="C139" s="226">
        <f>IF(AC2025!E138="","",AC2025!E138)</f>
        <v/>
      </c>
      <c r="D139" s="227">
        <f>IF(AC2025!H138="","",AC2025!H138)</f>
        <v/>
      </c>
      <c r="E139" s="227">
        <f>IF(AC2025!K138="","",AC2025!K138)</f>
        <v/>
      </c>
      <c r="F139" s="227">
        <f>IF(AC2025!L138="","",AC2025!L138)</f>
        <v/>
      </c>
      <c r="G139" s="227">
        <f>IF(AC2025!P138="","",AC2025!P138)</f>
        <v/>
      </c>
      <c r="H139" s="227">
        <f>IF(AC2025!O138="","",AC2025!O138)</f>
        <v/>
      </c>
      <c r="I139" s="227">
        <f>IF(AC2025!U138="","",AC2025!U138)</f>
        <v/>
      </c>
      <c r="J139" s="227">
        <f>IF(AC2025!X138="","",AC2025!X138)</f>
        <v/>
      </c>
      <c r="K139" s="227">
        <f>IF(AC2025!Y138="","",AC2025!Y138)</f>
        <v/>
      </c>
      <c r="L139" s="227">
        <f>IF(AC2025!Z138="","",AC2025!Z138)</f>
        <v/>
      </c>
      <c r="M139" s="227">
        <f>IF(AC2025!AA138="","",AC2025!AA138)</f>
        <v/>
      </c>
      <c r="N139" s="227">
        <f>IF(AC2025!AD138="","",AC2025!AD138)</f>
        <v/>
      </c>
      <c r="O139" s="227">
        <f>IF(AC2025!AE138="","",AC2025!AE138)</f>
        <v/>
      </c>
      <c r="P139" s="227">
        <f>IF(AC2025!AF138="","",AC2025!AF138)</f>
        <v/>
      </c>
      <c r="Q139" s="226">
        <f>IF(AC2025!AI138="","",AC2025!AI138)</f>
        <v/>
      </c>
      <c r="R139" s="227">
        <f>IF(AC2025!AM138="","",AC2025!AM138)</f>
        <v/>
      </c>
      <c r="S139" s="226">
        <f>IF(AC2025!AP138="","",AC2025!AP138)</f>
        <v/>
      </c>
      <c r="T139" s="227">
        <f>IF(AC2025!AT138="","",AC2025!AT138)</f>
        <v/>
      </c>
    </row>
    <row r="140">
      <c r="B140" s="226">
        <f>IF(AC2025!B139="","",AC2025!B139)</f>
        <v/>
      </c>
      <c r="C140" s="226">
        <f>IF(AC2025!E139="","",AC2025!E139)</f>
        <v/>
      </c>
      <c r="D140" s="227">
        <f>IF(AC2025!H139="","",AC2025!H139)</f>
        <v/>
      </c>
      <c r="E140" s="227">
        <f>IF(AC2025!K139="","",AC2025!K139)</f>
        <v/>
      </c>
      <c r="F140" s="227">
        <f>IF(AC2025!L139="","",AC2025!L139)</f>
        <v/>
      </c>
      <c r="G140" s="227">
        <f>IF(AC2025!P139="","",AC2025!P139)</f>
        <v/>
      </c>
      <c r="H140" s="227">
        <f>IF(AC2025!O139="","",AC2025!O139)</f>
        <v/>
      </c>
      <c r="I140" s="227">
        <f>IF(AC2025!U139="","",AC2025!U139)</f>
        <v/>
      </c>
      <c r="J140" s="227">
        <f>IF(AC2025!X139="","",AC2025!X139)</f>
        <v/>
      </c>
      <c r="K140" s="227">
        <f>IF(AC2025!Y139="","",AC2025!Y139)</f>
        <v/>
      </c>
      <c r="L140" s="227">
        <f>IF(AC2025!Z139="","",AC2025!Z139)</f>
        <v/>
      </c>
      <c r="M140" s="227">
        <f>IF(AC2025!AA139="","",AC2025!AA139)</f>
        <v/>
      </c>
      <c r="N140" s="227">
        <f>IF(AC2025!AD139="","",AC2025!AD139)</f>
        <v/>
      </c>
      <c r="O140" s="227">
        <f>IF(AC2025!AE139="","",AC2025!AE139)</f>
        <v/>
      </c>
      <c r="P140" s="227">
        <f>IF(AC2025!AF139="","",AC2025!AF139)</f>
        <v/>
      </c>
      <c r="Q140" s="226">
        <f>IF(AC2025!AI139="","",AC2025!AI139)</f>
        <v/>
      </c>
      <c r="R140" s="227">
        <f>IF(AC2025!AM139="","",AC2025!AM139)</f>
        <v/>
      </c>
      <c r="S140" s="226">
        <f>IF(AC2025!AP139="","",AC2025!AP139)</f>
        <v/>
      </c>
      <c r="T140" s="227">
        <f>IF(AC2025!AT139="","",AC2025!AT139)</f>
        <v/>
      </c>
    </row>
    <row r="141">
      <c r="B141" s="226">
        <f>IF(AC2025!B140="","",AC2025!B140)</f>
        <v/>
      </c>
      <c r="C141" s="226">
        <f>IF(AC2025!E140="","",AC2025!E140)</f>
        <v/>
      </c>
      <c r="D141" s="227">
        <f>IF(AC2025!H140="","",AC2025!H140)</f>
        <v/>
      </c>
      <c r="E141" s="227">
        <f>IF(AC2025!K140="","",AC2025!K140)</f>
        <v/>
      </c>
      <c r="F141" s="227">
        <f>IF(AC2025!L140="","",AC2025!L140)</f>
        <v/>
      </c>
      <c r="G141" s="227">
        <f>IF(AC2025!P140="","",AC2025!P140)</f>
        <v/>
      </c>
      <c r="H141" s="227">
        <f>IF(AC2025!O140="","",AC2025!O140)</f>
        <v/>
      </c>
      <c r="I141" s="227">
        <f>IF(AC2025!U140="","",AC2025!U140)</f>
        <v/>
      </c>
      <c r="J141" s="227">
        <f>IF(AC2025!X140="","",AC2025!X140)</f>
        <v/>
      </c>
      <c r="K141" s="227">
        <f>IF(AC2025!Y140="","",AC2025!Y140)</f>
        <v/>
      </c>
      <c r="L141" s="227">
        <f>IF(AC2025!Z140="","",AC2025!Z140)</f>
        <v/>
      </c>
      <c r="M141" s="227">
        <f>IF(AC2025!AA140="","",AC2025!AA140)</f>
        <v/>
      </c>
      <c r="N141" s="227">
        <f>IF(AC2025!AD140="","",AC2025!AD140)</f>
        <v/>
      </c>
      <c r="O141" s="227">
        <f>IF(AC2025!AE140="","",AC2025!AE140)</f>
        <v/>
      </c>
      <c r="P141" s="227">
        <f>IF(AC2025!AF140="","",AC2025!AF140)</f>
        <v/>
      </c>
      <c r="Q141" s="226">
        <f>IF(AC2025!AI140="","",AC2025!AI140)</f>
        <v/>
      </c>
      <c r="R141" s="227">
        <f>IF(AC2025!AM140="","",AC2025!AM140)</f>
        <v/>
      </c>
      <c r="S141" s="226">
        <f>IF(AC2025!AP140="","",AC2025!AP140)</f>
        <v/>
      </c>
      <c r="T141" s="227">
        <f>IF(AC2025!AT140="","",AC2025!AT140)</f>
        <v/>
      </c>
    </row>
    <row r="142">
      <c r="B142" s="226">
        <f>IF(AC2025!B141="","",AC2025!B141)</f>
        <v/>
      </c>
      <c r="C142" s="226">
        <f>IF(AC2025!E141="","",AC2025!E141)</f>
        <v/>
      </c>
      <c r="D142" s="227">
        <f>IF(AC2025!H141="","",AC2025!H141)</f>
        <v/>
      </c>
      <c r="E142" s="227">
        <f>IF(AC2025!K141="","",AC2025!K141)</f>
        <v/>
      </c>
      <c r="F142" s="227">
        <f>IF(AC2025!L141="","",AC2025!L141)</f>
        <v/>
      </c>
      <c r="G142" s="227">
        <f>IF(AC2025!P141="","",AC2025!P141)</f>
        <v/>
      </c>
      <c r="H142" s="227">
        <f>IF(AC2025!O141="","",AC2025!O141)</f>
        <v/>
      </c>
      <c r="I142" s="227">
        <f>IF(AC2025!U141="","",AC2025!U141)</f>
        <v/>
      </c>
      <c r="J142" s="227">
        <f>IF(AC2025!X141="","",AC2025!X141)</f>
        <v/>
      </c>
      <c r="K142" s="227">
        <f>IF(AC2025!Y141="","",AC2025!Y141)</f>
        <v/>
      </c>
      <c r="L142" s="227">
        <f>IF(AC2025!Z141="","",AC2025!Z141)</f>
        <v/>
      </c>
      <c r="M142" s="227">
        <f>IF(AC2025!AA141="","",AC2025!AA141)</f>
        <v/>
      </c>
      <c r="N142" s="227">
        <f>IF(AC2025!AD141="","",AC2025!AD141)</f>
        <v/>
      </c>
      <c r="O142" s="227">
        <f>IF(AC2025!AE141="","",AC2025!AE141)</f>
        <v/>
      </c>
      <c r="P142" s="227">
        <f>IF(AC2025!AF141="","",AC2025!AF141)</f>
        <v/>
      </c>
      <c r="Q142" s="226">
        <f>IF(AC2025!AI141="","",AC2025!AI141)</f>
        <v/>
      </c>
      <c r="R142" s="227">
        <f>IF(AC2025!AM141="","",AC2025!AM141)</f>
        <v/>
      </c>
      <c r="S142" s="226">
        <f>IF(AC2025!AP141="","",AC2025!AP141)</f>
        <v/>
      </c>
      <c r="T142" s="227">
        <f>IF(AC2025!AT141="","",AC2025!AT141)</f>
        <v/>
      </c>
    </row>
    <row r="143">
      <c r="B143" s="226">
        <f>IF(AC2025!B142="","",AC2025!B142)</f>
        <v/>
      </c>
      <c r="C143" s="226">
        <f>IF(AC2025!E142="","",AC2025!E142)</f>
        <v/>
      </c>
      <c r="D143" s="227">
        <f>IF(AC2025!H142="","",AC2025!H142)</f>
        <v/>
      </c>
      <c r="E143" s="227">
        <f>IF(AC2025!K142="","",AC2025!K142)</f>
        <v/>
      </c>
      <c r="F143" s="227">
        <f>IF(AC2025!L142="","",AC2025!L142)</f>
        <v/>
      </c>
      <c r="G143" s="227">
        <f>IF(AC2025!P142="","",AC2025!P142)</f>
        <v/>
      </c>
      <c r="H143" s="227">
        <f>IF(AC2025!O142="","",AC2025!O142)</f>
        <v/>
      </c>
      <c r="I143" s="227">
        <f>IF(AC2025!U142="","",AC2025!U142)</f>
        <v/>
      </c>
      <c r="J143" s="227">
        <f>IF(AC2025!X142="","",AC2025!X142)</f>
        <v/>
      </c>
      <c r="K143" s="227">
        <f>IF(AC2025!Y142="","",AC2025!Y142)</f>
        <v/>
      </c>
      <c r="L143" s="227">
        <f>IF(AC2025!Z142="","",AC2025!Z142)</f>
        <v/>
      </c>
      <c r="M143" s="227">
        <f>IF(AC2025!AA142="","",AC2025!AA142)</f>
        <v/>
      </c>
      <c r="N143" s="227">
        <f>IF(AC2025!AD142="","",AC2025!AD142)</f>
        <v/>
      </c>
      <c r="O143" s="227">
        <f>IF(AC2025!AE142="","",AC2025!AE142)</f>
        <v/>
      </c>
      <c r="P143" s="227">
        <f>IF(AC2025!AF142="","",AC2025!AF142)</f>
        <v/>
      </c>
      <c r="Q143" s="226">
        <f>IF(AC2025!AI142="","",AC2025!AI142)</f>
        <v/>
      </c>
      <c r="R143" s="227">
        <f>IF(AC2025!AM142="","",AC2025!AM142)</f>
        <v/>
      </c>
      <c r="S143" s="226">
        <f>IF(AC2025!AP142="","",AC2025!AP142)</f>
        <v/>
      </c>
      <c r="T143" s="227">
        <f>IF(AC2025!AT142="","",AC2025!AT142)</f>
        <v/>
      </c>
    </row>
    <row r="144">
      <c r="B144" s="226">
        <f>IF(AC2025!B143="","",AC2025!B143)</f>
        <v/>
      </c>
      <c r="C144" s="226">
        <f>IF(AC2025!E143="","",AC2025!E143)</f>
        <v/>
      </c>
      <c r="D144" s="227">
        <f>IF(AC2025!H143="","",AC2025!H143)</f>
        <v/>
      </c>
      <c r="E144" s="227">
        <f>IF(AC2025!K143="","",AC2025!K143)</f>
        <v/>
      </c>
      <c r="F144" s="227">
        <f>IF(AC2025!L143="","",AC2025!L143)</f>
        <v/>
      </c>
      <c r="G144" s="227">
        <f>IF(AC2025!P143="","",AC2025!P143)</f>
        <v/>
      </c>
      <c r="H144" s="227">
        <f>IF(AC2025!O143="","",AC2025!O143)</f>
        <v/>
      </c>
      <c r="I144" s="227">
        <f>IF(AC2025!U143="","",AC2025!U143)</f>
        <v/>
      </c>
      <c r="J144" s="227">
        <f>IF(AC2025!X143="","",AC2025!X143)</f>
        <v/>
      </c>
      <c r="K144" s="227">
        <f>IF(AC2025!Y143="","",AC2025!Y143)</f>
        <v/>
      </c>
      <c r="L144" s="227">
        <f>IF(AC2025!Z143="","",AC2025!Z143)</f>
        <v/>
      </c>
      <c r="M144" s="227">
        <f>IF(AC2025!AA143="","",AC2025!AA143)</f>
        <v/>
      </c>
      <c r="N144" s="227">
        <f>IF(AC2025!AD143="","",AC2025!AD143)</f>
        <v/>
      </c>
      <c r="O144" s="227">
        <f>IF(AC2025!AE143="","",AC2025!AE143)</f>
        <v/>
      </c>
      <c r="P144" s="227">
        <f>IF(AC2025!AF143="","",AC2025!AF143)</f>
        <v/>
      </c>
      <c r="Q144" s="226">
        <f>IF(AC2025!AI143="","",AC2025!AI143)</f>
        <v/>
      </c>
      <c r="R144" s="227">
        <f>IF(AC2025!AM143="","",AC2025!AM143)</f>
        <v/>
      </c>
      <c r="S144" s="226">
        <f>IF(AC2025!AP143="","",AC2025!AP143)</f>
        <v/>
      </c>
      <c r="T144" s="227">
        <f>IF(AC2025!AT143="","",AC2025!AT143)</f>
        <v/>
      </c>
    </row>
    <row r="145">
      <c r="B145" s="226">
        <f>IF(AC2025!B144="","",AC2025!B144)</f>
        <v/>
      </c>
      <c r="C145" s="226">
        <f>IF(AC2025!E144="","",AC2025!E144)</f>
        <v/>
      </c>
      <c r="D145" s="227">
        <f>IF(AC2025!H144="","",AC2025!H144)</f>
        <v/>
      </c>
      <c r="E145" s="227">
        <f>IF(AC2025!K144="","",AC2025!K144)</f>
        <v/>
      </c>
      <c r="F145" s="227">
        <f>IF(AC2025!L144="","",AC2025!L144)</f>
        <v/>
      </c>
      <c r="G145" s="227">
        <f>IF(AC2025!P144="","",AC2025!P144)</f>
        <v/>
      </c>
      <c r="H145" s="227">
        <f>IF(AC2025!O144="","",AC2025!O144)</f>
        <v/>
      </c>
      <c r="I145" s="227">
        <f>IF(AC2025!U144="","",AC2025!U144)</f>
        <v/>
      </c>
      <c r="J145" s="227">
        <f>IF(AC2025!X144="","",AC2025!X144)</f>
        <v/>
      </c>
      <c r="K145" s="227">
        <f>IF(AC2025!Y144="","",AC2025!Y144)</f>
        <v/>
      </c>
      <c r="L145" s="227">
        <f>IF(AC2025!Z144="","",AC2025!Z144)</f>
        <v/>
      </c>
      <c r="M145" s="227">
        <f>IF(AC2025!AA144="","",AC2025!AA144)</f>
        <v/>
      </c>
      <c r="N145" s="227">
        <f>IF(AC2025!AD144="","",AC2025!AD144)</f>
        <v/>
      </c>
      <c r="O145" s="227">
        <f>IF(AC2025!AE144="","",AC2025!AE144)</f>
        <v/>
      </c>
      <c r="P145" s="227">
        <f>IF(AC2025!AF144="","",AC2025!AF144)</f>
        <v/>
      </c>
      <c r="Q145" s="226">
        <f>IF(AC2025!AI144="","",AC2025!AI144)</f>
        <v/>
      </c>
      <c r="R145" s="227">
        <f>IF(AC2025!AM144="","",AC2025!AM144)</f>
        <v/>
      </c>
      <c r="S145" s="226">
        <f>IF(AC2025!AP144="","",AC2025!AP144)</f>
        <v/>
      </c>
      <c r="T145" s="227">
        <f>IF(AC2025!AT144="","",AC2025!AT144)</f>
        <v/>
      </c>
    </row>
    <row r="146">
      <c r="B146" s="226">
        <f>IF(AC2025!B145="","",AC2025!B145)</f>
        <v/>
      </c>
      <c r="C146" s="226">
        <f>IF(AC2025!E145="","",AC2025!E145)</f>
        <v/>
      </c>
      <c r="D146" s="227">
        <f>IF(AC2025!H145="","",AC2025!H145)</f>
        <v/>
      </c>
      <c r="E146" s="227">
        <f>IF(AC2025!K145="","",AC2025!K145)</f>
        <v/>
      </c>
      <c r="F146" s="227">
        <f>IF(AC2025!L145="","",AC2025!L145)</f>
        <v/>
      </c>
      <c r="G146" s="227">
        <f>IF(AC2025!P145="","",AC2025!P145)</f>
        <v/>
      </c>
      <c r="H146" s="227">
        <f>IF(AC2025!O145="","",AC2025!O145)</f>
        <v/>
      </c>
      <c r="I146" s="227">
        <f>IF(AC2025!U145="","",AC2025!U145)</f>
        <v/>
      </c>
      <c r="J146" s="227">
        <f>IF(AC2025!X145="","",AC2025!X145)</f>
        <v/>
      </c>
      <c r="K146" s="227">
        <f>IF(AC2025!Y145="","",AC2025!Y145)</f>
        <v/>
      </c>
      <c r="L146" s="227">
        <f>IF(AC2025!Z145="","",AC2025!Z145)</f>
        <v/>
      </c>
      <c r="M146" s="227">
        <f>IF(AC2025!AA145="","",AC2025!AA145)</f>
        <v/>
      </c>
      <c r="N146" s="227">
        <f>IF(AC2025!AD145="","",AC2025!AD145)</f>
        <v/>
      </c>
      <c r="O146" s="227">
        <f>IF(AC2025!AE145="","",AC2025!AE145)</f>
        <v/>
      </c>
      <c r="P146" s="227">
        <f>IF(AC2025!AF145="","",AC2025!AF145)</f>
        <v/>
      </c>
      <c r="Q146" s="226">
        <f>IF(AC2025!AI145="","",AC2025!AI145)</f>
        <v/>
      </c>
      <c r="R146" s="227">
        <f>IF(AC2025!AM145="","",AC2025!AM145)</f>
        <v/>
      </c>
      <c r="S146" s="226">
        <f>IF(AC2025!AP145="","",AC2025!AP145)</f>
        <v/>
      </c>
      <c r="T146" s="227">
        <f>IF(AC2025!AT145="","",AC2025!AT145)</f>
        <v/>
      </c>
    </row>
    <row r="147">
      <c r="B147" s="226">
        <f>IF(AC2025!B146="","",AC2025!B146)</f>
        <v/>
      </c>
      <c r="C147" s="226">
        <f>IF(AC2025!E146="","",AC2025!E146)</f>
        <v/>
      </c>
      <c r="D147" s="227">
        <f>IF(AC2025!H146="","",AC2025!H146)</f>
        <v/>
      </c>
      <c r="E147" s="227">
        <f>IF(AC2025!K146="","",AC2025!K146)</f>
        <v/>
      </c>
      <c r="F147" s="227">
        <f>IF(AC2025!L146="","",AC2025!L146)</f>
        <v/>
      </c>
      <c r="G147" s="227">
        <f>IF(AC2025!P146="","",AC2025!P146)</f>
        <v/>
      </c>
      <c r="H147" s="227">
        <f>IF(AC2025!O146="","",AC2025!O146)</f>
        <v/>
      </c>
      <c r="I147" s="227">
        <f>IF(AC2025!U146="","",AC2025!U146)</f>
        <v/>
      </c>
      <c r="J147" s="227">
        <f>IF(AC2025!X146="","",AC2025!X146)</f>
        <v/>
      </c>
      <c r="K147" s="227">
        <f>IF(AC2025!Y146="","",AC2025!Y146)</f>
        <v/>
      </c>
      <c r="L147" s="227">
        <f>IF(AC2025!Z146="","",AC2025!Z146)</f>
        <v/>
      </c>
      <c r="M147" s="227">
        <f>IF(AC2025!AA146="","",AC2025!AA146)</f>
        <v/>
      </c>
      <c r="N147" s="227">
        <f>IF(AC2025!AD146="","",AC2025!AD146)</f>
        <v/>
      </c>
      <c r="O147" s="227">
        <f>IF(AC2025!AE146="","",AC2025!AE146)</f>
        <v/>
      </c>
      <c r="P147" s="227">
        <f>IF(AC2025!AF146="","",AC2025!AF146)</f>
        <v/>
      </c>
      <c r="Q147" s="226">
        <f>IF(AC2025!AI146="","",AC2025!AI146)</f>
        <v/>
      </c>
      <c r="R147" s="227">
        <f>IF(AC2025!AM146="","",AC2025!AM146)</f>
        <v/>
      </c>
      <c r="S147" s="226">
        <f>IF(AC2025!AP146="","",AC2025!AP146)</f>
        <v/>
      </c>
      <c r="T147" s="227">
        <f>IF(AC2025!AT146="","",AC2025!AT146)</f>
        <v/>
      </c>
    </row>
    <row r="148">
      <c r="B148" s="226">
        <f>IF(AC2025!B147="","",AC2025!B147)</f>
        <v/>
      </c>
      <c r="C148" s="226">
        <f>IF(AC2025!E147="","",AC2025!E147)</f>
        <v/>
      </c>
      <c r="D148" s="227">
        <f>IF(AC2025!H147="","",AC2025!H147)</f>
        <v/>
      </c>
      <c r="E148" s="227">
        <f>IF(AC2025!K147="","",AC2025!K147)</f>
        <v/>
      </c>
      <c r="F148" s="227">
        <f>IF(AC2025!L147="","",AC2025!L147)</f>
        <v/>
      </c>
      <c r="G148" s="227">
        <f>IF(AC2025!P147="","",AC2025!P147)</f>
        <v/>
      </c>
      <c r="H148" s="227">
        <f>IF(AC2025!O147="","",AC2025!O147)</f>
        <v/>
      </c>
      <c r="I148" s="227">
        <f>IF(AC2025!U147="","",AC2025!U147)</f>
        <v/>
      </c>
      <c r="J148" s="227">
        <f>IF(AC2025!X147="","",AC2025!X147)</f>
        <v/>
      </c>
      <c r="K148" s="227">
        <f>IF(AC2025!Y147="","",AC2025!Y147)</f>
        <v/>
      </c>
      <c r="L148" s="227">
        <f>IF(AC2025!Z147="","",AC2025!Z147)</f>
        <v/>
      </c>
      <c r="M148" s="227">
        <f>IF(AC2025!AA147="","",AC2025!AA147)</f>
        <v/>
      </c>
      <c r="N148" s="227">
        <f>IF(AC2025!AD147="","",AC2025!AD147)</f>
        <v/>
      </c>
      <c r="O148" s="227">
        <f>IF(AC2025!AE147="","",AC2025!AE147)</f>
        <v/>
      </c>
      <c r="P148" s="227">
        <f>IF(AC2025!AF147="","",AC2025!AF147)</f>
        <v/>
      </c>
      <c r="Q148" s="226">
        <f>IF(AC2025!AI147="","",AC2025!AI147)</f>
        <v/>
      </c>
      <c r="R148" s="227">
        <f>IF(AC2025!AM147="","",AC2025!AM147)</f>
        <v/>
      </c>
      <c r="S148" s="226">
        <f>IF(AC2025!AP147="","",AC2025!AP147)</f>
        <v/>
      </c>
      <c r="T148" s="227">
        <f>IF(AC2025!AT147="","",AC2025!AT147)</f>
        <v/>
      </c>
    </row>
    <row r="149">
      <c r="B149" s="226">
        <f>IF(AC2025!B148="","",AC2025!B148)</f>
        <v/>
      </c>
      <c r="C149" s="226">
        <f>IF(AC2025!E148="","",AC2025!E148)</f>
        <v/>
      </c>
      <c r="D149" s="227">
        <f>IF(AC2025!H148="","",AC2025!H148)</f>
        <v/>
      </c>
      <c r="E149" s="227">
        <f>IF(AC2025!K148="","",AC2025!K148)</f>
        <v/>
      </c>
      <c r="F149" s="227">
        <f>IF(AC2025!L148="","",AC2025!L148)</f>
        <v/>
      </c>
      <c r="G149" s="227">
        <f>IF(AC2025!P148="","",AC2025!P148)</f>
        <v/>
      </c>
      <c r="H149" s="227">
        <f>IF(AC2025!O148="","",AC2025!O148)</f>
        <v/>
      </c>
      <c r="I149" s="227">
        <f>IF(AC2025!U148="","",AC2025!U148)</f>
        <v/>
      </c>
      <c r="J149" s="227">
        <f>IF(AC2025!X148="","",AC2025!X148)</f>
        <v/>
      </c>
      <c r="K149" s="227">
        <f>IF(AC2025!Y148="","",AC2025!Y148)</f>
        <v/>
      </c>
      <c r="L149" s="227">
        <f>IF(AC2025!Z148="","",AC2025!Z148)</f>
        <v/>
      </c>
      <c r="M149" s="227">
        <f>IF(AC2025!AA148="","",AC2025!AA148)</f>
        <v/>
      </c>
      <c r="N149" s="227">
        <f>IF(AC2025!AD148="","",AC2025!AD148)</f>
        <v/>
      </c>
      <c r="O149" s="227">
        <f>IF(AC2025!AE148="","",AC2025!AE148)</f>
        <v/>
      </c>
      <c r="P149" s="227">
        <f>IF(AC2025!AF148="","",AC2025!AF148)</f>
        <v/>
      </c>
      <c r="Q149" s="226">
        <f>IF(AC2025!AI148="","",AC2025!AI148)</f>
        <v/>
      </c>
      <c r="R149" s="227">
        <f>IF(AC2025!AM148="","",AC2025!AM148)</f>
        <v/>
      </c>
      <c r="S149" s="226">
        <f>IF(AC2025!AP148="","",AC2025!AP148)</f>
        <v/>
      </c>
      <c r="T149" s="227">
        <f>IF(AC2025!AT148="","",AC2025!AT148)</f>
        <v/>
      </c>
    </row>
    <row r="150">
      <c r="B150" s="226">
        <f>IF(AC2025!B149="","",AC2025!B149)</f>
        <v/>
      </c>
      <c r="C150" s="226">
        <f>IF(AC2025!E149="","",AC2025!E149)</f>
        <v/>
      </c>
      <c r="D150" s="227">
        <f>IF(AC2025!H149="","",AC2025!H149)</f>
        <v/>
      </c>
      <c r="E150" s="227">
        <f>IF(AC2025!K149="","",AC2025!K149)</f>
        <v/>
      </c>
      <c r="F150" s="227">
        <f>IF(AC2025!L149="","",AC2025!L149)</f>
        <v/>
      </c>
      <c r="G150" s="227">
        <f>IF(AC2025!P149="","",AC2025!P149)</f>
        <v/>
      </c>
      <c r="H150" s="227">
        <f>IF(AC2025!O149="","",AC2025!O149)</f>
        <v/>
      </c>
      <c r="I150" s="227">
        <f>IF(AC2025!U149="","",AC2025!U149)</f>
        <v/>
      </c>
      <c r="J150" s="227">
        <f>IF(AC2025!X149="","",AC2025!X149)</f>
        <v/>
      </c>
      <c r="K150" s="227">
        <f>IF(AC2025!Y149="","",AC2025!Y149)</f>
        <v/>
      </c>
      <c r="L150" s="227">
        <f>IF(AC2025!Z149="","",AC2025!Z149)</f>
        <v/>
      </c>
      <c r="M150" s="227">
        <f>IF(AC2025!AA149="","",AC2025!AA149)</f>
        <v/>
      </c>
      <c r="N150" s="227">
        <f>IF(AC2025!AD149="","",AC2025!AD149)</f>
        <v/>
      </c>
      <c r="O150" s="227">
        <f>IF(AC2025!AE149="","",AC2025!AE149)</f>
        <v/>
      </c>
      <c r="P150" s="227">
        <f>IF(AC2025!AF149="","",AC2025!AF149)</f>
        <v/>
      </c>
      <c r="Q150" s="226">
        <f>IF(AC2025!AI149="","",AC2025!AI149)</f>
        <v/>
      </c>
      <c r="R150" s="227">
        <f>IF(AC2025!AM149="","",AC2025!AM149)</f>
        <v/>
      </c>
      <c r="S150" s="226">
        <f>IF(AC2025!AP149="","",AC2025!AP149)</f>
        <v/>
      </c>
      <c r="T150" s="227">
        <f>IF(AC2025!AT149="","",AC2025!AT149)</f>
        <v/>
      </c>
    </row>
    <row r="151">
      <c r="B151" s="226">
        <f>IF(AC2025!B150="","",AC2025!B150)</f>
        <v/>
      </c>
      <c r="C151" s="226">
        <f>IF(AC2025!E150="","",AC2025!E150)</f>
        <v/>
      </c>
      <c r="D151" s="227">
        <f>IF(AC2025!H150="","",AC2025!H150)</f>
        <v/>
      </c>
      <c r="E151" s="227">
        <f>IF(AC2025!K150="","",AC2025!K150)</f>
        <v/>
      </c>
      <c r="F151" s="227">
        <f>IF(AC2025!L150="","",AC2025!L150)</f>
        <v/>
      </c>
      <c r="G151" s="227">
        <f>IF(AC2025!P150="","",AC2025!P150)</f>
        <v/>
      </c>
      <c r="H151" s="227">
        <f>IF(AC2025!O150="","",AC2025!O150)</f>
        <v/>
      </c>
      <c r="I151" s="227">
        <f>IF(AC2025!U150="","",AC2025!U150)</f>
        <v/>
      </c>
      <c r="J151" s="227">
        <f>IF(AC2025!X150="","",AC2025!X150)</f>
        <v/>
      </c>
      <c r="K151" s="227">
        <f>IF(AC2025!Y150="","",AC2025!Y150)</f>
        <v/>
      </c>
      <c r="L151" s="227">
        <f>IF(AC2025!Z150="","",AC2025!Z150)</f>
        <v/>
      </c>
      <c r="M151" s="227">
        <f>IF(AC2025!AA150="","",AC2025!AA150)</f>
        <v/>
      </c>
      <c r="N151" s="227">
        <f>IF(AC2025!AD150="","",AC2025!AD150)</f>
        <v/>
      </c>
      <c r="O151" s="227">
        <f>IF(AC2025!AE150="","",AC2025!AE150)</f>
        <v/>
      </c>
      <c r="P151" s="227">
        <f>IF(AC2025!AF150="","",AC2025!AF150)</f>
        <v/>
      </c>
      <c r="Q151" s="226">
        <f>IF(AC2025!AI150="","",AC2025!AI150)</f>
        <v/>
      </c>
      <c r="R151" s="227">
        <f>IF(AC2025!AM150="","",AC2025!AM150)</f>
        <v/>
      </c>
      <c r="S151" s="226">
        <f>IF(AC2025!AP150="","",AC2025!AP150)</f>
        <v/>
      </c>
      <c r="T151" s="227">
        <f>IF(AC2025!AT150="","",AC2025!AT150)</f>
        <v/>
      </c>
    </row>
    <row r="152">
      <c r="B152" s="226">
        <f>IF(AC2025!B151="","",AC2025!B151)</f>
        <v/>
      </c>
      <c r="C152" s="226">
        <f>IF(AC2025!E151="","",AC2025!E151)</f>
        <v/>
      </c>
      <c r="D152" s="227">
        <f>IF(AC2025!H151="","",AC2025!H151)</f>
        <v/>
      </c>
      <c r="E152" s="227">
        <f>IF(AC2025!K151="","",AC2025!K151)</f>
        <v/>
      </c>
      <c r="F152" s="227">
        <f>IF(AC2025!L151="","",AC2025!L151)</f>
        <v/>
      </c>
      <c r="G152" s="227">
        <f>IF(AC2025!P151="","",AC2025!P151)</f>
        <v/>
      </c>
      <c r="H152" s="227">
        <f>IF(AC2025!O151="","",AC2025!O151)</f>
        <v/>
      </c>
      <c r="I152" s="227">
        <f>IF(AC2025!U151="","",AC2025!U151)</f>
        <v/>
      </c>
      <c r="J152" s="227">
        <f>IF(AC2025!X151="","",AC2025!X151)</f>
        <v/>
      </c>
      <c r="K152" s="227">
        <f>IF(AC2025!Y151="","",AC2025!Y151)</f>
        <v/>
      </c>
      <c r="L152" s="227">
        <f>IF(AC2025!Z151="","",AC2025!Z151)</f>
        <v/>
      </c>
      <c r="M152" s="227">
        <f>IF(AC2025!AA151="","",AC2025!AA151)</f>
        <v/>
      </c>
      <c r="N152" s="227">
        <f>IF(AC2025!AD151="","",AC2025!AD151)</f>
        <v/>
      </c>
      <c r="O152" s="227">
        <f>IF(AC2025!AE151="","",AC2025!AE151)</f>
        <v/>
      </c>
      <c r="P152" s="227">
        <f>IF(AC2025!AF151="","",AC2025!AF151)</f>
        <v/>
      </c>
      <c r="Q152" s="226">
        <f>IF(AC2025!AI151="","",AC2025!AI151)</f>
        <v/>
      </c>
      <c r="R152" s="227">
        <f>IF(AC2025!AM151="","",AC2025!AM151)</f>
        <v/>
      </c>
      <c r="S152" s="226">
        <f>IF(AC2025!AP151="","",AC2025!AP151)</f>
        <v/>
      </c>
      <c r="T152" s="227">
        <f>IF(AC2025!AT151="","",AC2025!AT151)</f>
        <v/>
      </c>
    </row>
    <row r="153">
      <c r="B153" s="226">
        <f>IF(AC2025!B152="","",AC2025!B152)</f>
        <v/>
      </c>
      <c r="C153" s="226">
        <f>IF(AC2025!E152="","",AC2025!E152)</f>
        <v/>
      </c>
      <c r="D153" s="227">
        <f>IF(AC2025!H152="","",AC2025!H152)</f>
        <v/>
      </c>
      <c r="E153" s="227">
        <f>IF(AC2025!K152="","",AC2025!K152)</f>
        <v/>
      </c>
      <c r="F153" s="227">
        <f>IF(AC2025!L152="","",AC2025!L152)</f>
        <v/>
      </c>
      <c r="G153" s="227">
        <f>IF(AC2025!P152="","",AC2025!P152)</f>
        <v/>
      </c>
      <c r="H153" s="227">
        <f>IF(AC2025!O152="","",AC2025!O152)</f>
        <v/>
      </c>
      <c r="I153" s="227">
        <f>IF(AC2025!U152="","",AC2025!U152)</f>
        <v/>
      </c>
      <c r="J153" s="227">
        <f>IF(AC2025!X152="","",AC2025!X152)</f>
        <v/>
      </c>
      <c r="K153" s="227">
        <f>IF(AC2025!Y152="","",AC2025!Y152)</f>
        <v/>
      </c>
      <c r="L153" s="227">
        <f>IF(AC2025!Z152="","",AC2025!Z152)</f>
        <v/>
      </c>
      <c r="M153" s="227">
        <f>IF(AC2025!AA152="","",AC2025!AA152)</f>
        <v/>
      </c>
      <c r="N153" s="227">
        <f>IF(AC2025!AD152="","",AC2025!AD152)</f>
        <v/>
      </c>
      <c r="O153" s="227">
        <f>IF(AC2025!AE152="","",AC2025!AE152)</f>
        <v/>
      </c>
      <c r="P153" s="227">
        <f>IF(AC2025!AF152="","",AC2025!AF152)</f>
        <v/>
      </c>
      <c r="Q153" s="226">
        <f>IF(AC2025!AI152="","",AC2025!AI152)</f>
        <v/>
      </c>
      <c r="R153" s="227">
        <f>IF(AC2025!AM152="","",AC2025!AM152)</f>
        <v/>
      </c>
      <c r="S153" s="226">
        <f>IF(AC2025!AP152="","",AC2025!AP152)</f>
        <v/>
      </c>
      <c r="T153" s="227">
        <f>IF(AC2025!AT152="","",AC2025!AT152)</f>
        <v/>
      </c>
    </row>
    <row r="154">
      <c r="B154" s="226">
        <f>IF(AC2025!B153="","",AC2025!B153)</f>
        <v/>
      </c>
      <c r="C154" s="226">
        <f>IF(AC2025!E153="","",AC2025!E153)</f>
        <v/>
      </c>
      <c r="D154" s="227">
        <f>IF(AC2025!H153="","",AC2025!H153)</f>
        <v/>
      </c>
      <c r="E154" s="227">
        <f>IF(AC2025!K153="","",AC2025!K153)</f>
        <v/>
      </c>
      <c r="F154" s="227">
        <f>IF(AC2025!L153="","",AC2025!L153)</f>
        <v/>
      </c>
      <c r="G154" s="227">
        <f>IF(AC2025!P153="","",AC2025!P153)</f>
        <v/>
      </c>
      <c r="H154" s="227">
        <f>IF(AC2025!O153="","",AC2025!O153)</f>
        <v/>
      </c>
      <c r="I154" s="227">
        <f>IF(AC2025!U153="","",AC2025!U153)</f>
        <v/>
      </c>
      <c r="J154" s="227">
        <f>IF(AC2025!X153="","",AC2025!X153)</f>
        <v/>
      </c>
      <c r="K154" s="227">
        <f>IF(AC2025!Y153="","",AC2025!Y153)</f>
        <v/>
      </c>
      <c r="L154" s="227">
        <f>IF(AC2025!Z153="","",AC2025!Z153)</f>
        <v/>
      </c>
      <c r="M154" s="227">
        <f>IF(AC2025!AA153="","",AC2025!AA153)</f>
        <v/>
      </c>
      <c r="N154" s="227">
        <f>IF(AC2025!AD153="","",AC2025!AD153)</f>
        <v/>
      </c>
      <c r="O154" s="227">
        <f>IF(AC2025!AE153="","",AC2025!AE153)</f>
        <v/>
      </c>
      <c r="P154" s="227">
        <f>IF(AC2025!AF153="","",AC2025!AF153)</f>
        <v/>
      </c>
      <c r="Q154" s="226">
        <f>IF(AC2025!AI153="","",AC2025!AI153)</f>
        <v/>
      </c>
      <c r="R154" s="227">
        <f>IF(AC2025!AM153="","",AC2025!AM153)</f>
        <v/>
      </c>
      <c r="S154" s="226">
        <f>IF(AC2025!AP153="","",AC2025!AP153)</f>
        <v/>
      </c>
      <c r="T154" s="227">
        <f>IF(AC2025!AT153="","",AC2025!AT153)</f>
        <v/>
      </c>
    </row>
    <row r="155">
      <c r="B155" s="226">
        <f>IF(AC2025!B154="","",AC2025!B154)</f>
        <v/>
      </c>
      <c r="C155" s="226">
        <f>IF(AC2025!E154="","",AC2025!E154)</f>
        <v/>
      </c>
      <c r="D155" s="227">
        <f>IF(AC2025!H154="","",AC2025!H154)</f>
        <v/>
      </c>
      <c r="E155" s="227">
        <f>IF(AC2025!K154="","",AC2025!K154)</f>
        <v/>
      </c>
      <c r="F155" s="227">
        <f>IF(AC2025!L154="","",AC2025!L154)</f>
        <v/>
      </c>
      <c r="G155" s="227">
        <f>IF(AC2025!P154="","",AC2025!P154)</f>
        <v/>
      </c>
      <c r="H155" s="227">
        <f>IF(AC2025!O154="","",AC2025!O154)</f>
        <v/>
      </c>
      <c r="I155" s="227">
        <f>IF(AC2025!U154="","",AC2025!U154)</f>
        <v/>
      </c>
      <c r="J155" s="227">
        <f>IF(AC2025!X154="","",AC2025!X154)</f>
        <v/>
      </c>
      <c r="K155" s="227">
        <f>IF(AC2025!Y154="","",AC2025!Y154)</f>
        <v/>
      </c>
      <c r="L155" s="227">
        <f>IF(AC2025!Z154="","",AC2025!Z154)</f>
        <v/>
      </c>
      <c r="M155" s="227">
        <f>IF(AC2025!AA154="","",AC2025!AA154)</f>
        <v/>
      </c>
      <c r="N155" s="227">
        <f>IF(AC2025!AD154="","",AC2025!AD154)</f>
        <v/>
      </c>
      <c r="O155" s="227">
        <f>IF(AC2025!AE154="","",AC2025!AE154)</f>
        <v/>
      </c>
      <c r="P155" s="227">
        <f>IF(AC2025!AF154="","",AC2025!AF154)</f>
        <v/>
      </c>
      <c r="Q155" s="226">
        <f>IF(AC2025!AI154="","",AC2025!AI154)</f>
        <v/>
      </c>
      <c r="R155" s="227">
        <f>IF(AC2025!AM154="","",AC2025!AM154)</f>
        <v/>
      </c>
      <c r="S155" s="226">
        <f>IF(AC2025!AP154="","",AC2025!AP154)</f>
        <v/>
      </c>
      <c r="T155" s="227">
        <f>IF(AC2025!AT154="","",AC2025!AT154)</f>
        <v/>
      </c>
    </row>
    <row r="156">
      <c r="B156" s="226">
        <f>IF(AC2025!B155="","",AC2025!B155)</f>
        <v/>
      </c>
      <c r="C156" s="226">
        <f>IF(AC2025!E155="","",AC2025!E155)</f>
        <v/>
      </c>
      <c r="D156" s="227">
        <f>IF(AC2025!H155="","",AC2025!H155)</f>
        <v/>
      </c>
      <c r="E156" s="227">
        <f>IF(AC2025!K155="","",AC2025!K155)</f>
        <v/>
      </c>
      <c r="F156" s="227">
        <f>IF(AC2025!L155="","",AC2025!L155)</f>
        <v/>
      </c>
      <c r="G156" s="227">
        <f>IF(AC2025!P155="","",AC2025!P155)</f>
        <v/>
      </c>
      <c r="H156" s="227">
        <f>IF(AC2025!O155="","",AC2025!O155)</f>
        <v/>
      </c>
      <c r="I156" s="227">
        <f>IF(AC2025!U155="","",AC2025!U155)</f>
        <v/>
      </c>
      <c r="J156" s="227">
        <f>IF(AC2025!X155="","",AC2025!X155)</f>
        <v/>
      </c>
      <c r="K156" s="227">
        <f>IF(AC2025!Y155="","",AC2025!Y155)</f>
        <v/>
      </c>
      <c r="L156" s="227">
        <f>IF(AC2025!Z155="","",AC2025!Z155)</f>
        <v/>
      </c>
      <c r="M156" s="227">
        <f>IF(AC2025!AA155="","",AC2025!AA155)</f>
        <v/>
      </c>
      <c r="N156" s="227">
        <f>IF(AC2025!AD155="","",AC2025!AD155)</f>
        <v/>
      </c>
      <c r="O156" s="227">
        <f>IF(AC2025!AE155="","",AC2025!AE155)</f>
        <v/>
      </c>
      <c r="P156" s="227">
        <f>IF(AC2025!AF155="","",AC2025!AF155)</f>
        <v/>
      </c>
      <c r="Q156" s="226">
        <f>IF(AC2025!AI155="","",AC2025!AI155)</f>
        <v/>
      </c>
      <c r="R156" s="227">
        <f>IF(AC2025!AM155="","",AC2025!AM155)</f>
        <v/>
      </c>
      <c r="S156" s="226">
        <f>IF(AC2025!AP155="","",AC2025!AP155)</f>
        <v/>
      </c>
      <c r="T156" s="227">
        <f>IF(AC2025!AT155="","",AC2025!AT155)</f>
        <v/>
      </c>
    </row>
    <row r="157">
      <c r="B157" s="226">
        <f>IF(AC2025!B156="","",AC2025!B156)</f>
        <v/>
      </c>
      <c r="C157" s="226">
        <f>IF(AC2025!E156="","",AC2025!E156)</f>
        <v/>
      </c>
      <c r="D157" s="227">
        <f>IF(AC2025!H156="","",AC2025!H156)</f>
        <v/>
      </c>
      <c r="E157" s="227">
        <f>IF(AC2025!K156="","",AC2025!K156)</f>
        <v/>
      </c>
      <c r="F157" s="227">
        <f>IF(AC2025!L156="","",AC2025!L156)</f>
        <v/>
      </c>
      <c r="G157" s="227">
        <f>IF(AC2025!P156="","",AC2025!P156)</f>
        <v/>
      </c>
      <c r="H157" s="227">
        <f>IF(AC2025!O156="","",AC2025!O156)</f>
        <v/>
      </c>
      <c r="I157" s="227">
        <f>IF(AC2025!U156="","",AC2025!U156)</f>
        <v/>
      </c>
      <c r="J157" s="227">
        <f>IF(AC2025!X156="","",AC2025!X156)</f>
        <v/>
      </c>
      <c r="K157" s="227">
        <f>IF(AC2025!Y156="","",AC2025!Y156)</f>
        <v/>
      </c>
      <c r="L157" s="227">
        <f>IF(AC2025!Z156="","",AC2025!Z156)</f>
        <v/>
      </c>
      <c r="M157" s="227">
        <f>IF(AC2025!AA156="","",AC2025!AA156)</f>
        <v/>
      </c>
      <c r="N157" s="227">
        <f>IF(AC2025!AD156="","",AC2025!AD156)</f>
        <v/>
      </c>
      <c r="O157" s="227">
        <f>IF(AC2025!AE156="","",AC2025!AE156)</f>
        <v/>
      </c>
      <c r="P157" s="227">
        <f>IF(AC2025!AF156="","",AC2025!AF156)</f>
        <v/>
      </c>
      <c r="Q157" s="226">
        <f>IF(AC2025!AI156="","",AC2025!AI156)</f>
        <v/>
      </c>
      <c r="R157" s="227">
        <f>IF(AC2025!AM156="","",AC2025!AM156)</f>
        <v/>
      </c>
      <c r="S157" s="226">
        <f>IF(AC2025!AP156="","",AC2025!AP156)</f>
        <v/>
      </c>
      <c r="T157" s="227">
        <f>IF(AC2025!AT156="","",AC2025!AT156)</f>
        <v/>
      </c>
    </row>
    <row r="158">
      <c r="B158" s="226">
        <f>IF(AC2025!B157="","",AC2025!B157)</f>
        <v/>
      </c>
      <c r="C158" s="226">
        <f>IF(AC2025!E157="","",AC2025!E157)</f>
        <v/>
      </c>
      <c r="D158" s="227">
        <f>IF(AC2025!H157="","",AC2025!H157)</f>
        <v/>
      </c>
      <c r="E158" s="227">
        <f>IF(AC2025!K157="","",AC2025!K157)</f>
        <v/>
      </c>
      <c r="F158" s="227">
        <f>IF(AC2025!L157="","",AC2025!L157)</f>
        <v/>
      </c>
      <c r="G158" s="227">
        <f>IF(AC2025!P157="","",AC2025!P157)</f>
        <v/>
      </c>
      <c r="H158" s="227">
        <f>IF(AC2025!O157="","",AC2025!O157)</f>
        <v/>
      </c>
      <c r="I158" s="227">
        <f>IF(AC2025!U157="","",AC2025!U157)</f>
        <v/>
      </c>
      <c r="J158" s="227">
        <f>IF(AC2025!X157="","",AC2025!X157)</f>
        <v/>
      </c>
      <c r="K158" s="227">
        <f>IF(AC2025!Y157="","",AC2025!Y157)</f>
        <v/>
      </c>
      <c r="L158" s="227">
        <f>IF(AC2025!Z157="","",AC2025!Z157)</f>
        <v/>
      </c>
      <c r="M158" s="227">
        <f>IF(AC2025!AA157="","",AC2025!AA157)</f>
        <v/>
      </c>
      <c r="N158" s="227">
        <f>IF(AC2025!AD157="","",AC2025!AD157)</f>
        <v/>
      </c>
      <c r="O158" s="227">
        <f>IF(AC2025!AE157="","",AC2025!AE157)</f>
        <v/>
      </c>
      <c r="P158" s="227">
        <f>IF(AC2025!AF157="","",AC2025!AF157)</f>
        <v/>
      </c>
      <c r="Q158" s="226">
        <f>IF(AC2025!AI157="","",AC2025!AI157)</f>
        <v/>
      </c>
      <c r="R158" s="227">
        <f>IF(AC2025!AM157="","",AC2025!AM157)</f>
        <v/>
      </c>
      <c r="S158" s="226">
        <f>IF(AC2025!AP157="","",AC2025!AP157)</f>
        <v/>
      </c>
      <c r="T158" s="227">
        <f>IF(AC2025!AT157="","",AC2025!AT157)</f>
        <v/>
      </c>
    </row>
    <row r="159">
      <c r="B159" s="226">
        <f>IF(AC2025!B158="","",AC2025!B158)</f>
        <v/>
      </c>
      <c r="C159" s="226">
        <f>IF(AC2025!E158="","",AC2025!E158)</f>
        <v/>
      </c>
      <c r="D159" s="227">
        <f>IF(AC2025!H158="","",AC2025!H158)</f>
        <v/>
      </c>
      <c r="E159" s="227">
        <f>IF(AC2025!K158="","",AC2025!K158)</f>
        <v/>
      </c>
      <c r="F159" s="227">
        <f>IF(AC2025!L158="","",AC2025!L158)</f>
        <v/>
      </c>
      <c r="G159" s="227">
        <f>IF(AC2025!P158="","",AC2025!P158)</f>
        <v/>
      </c>
      <c r="H159" s="227">
        <f>IF(AC2025!O158="","",AC2025!O158)</f>
        <v/>
      </c>
      <c r="I159" s="227">
        <f>IF(AC2025!U158="","",AC2025!U158)</f>
        <v/>
      </c>
      <c r="J159" s="227">
        <f>IF(AC2025!X158="","",AC2025!X158)</f>
        <v/>
      </c>
      <c r="K159" s="227">
        <f>IF(AC2025!Y158="","",AC2025!Y158)</f>
        <v/>
      </c>
      <c r="L159" s="227">
        <f>IF(AC2025!Z158="","",AC2025!Z158)</f>
        <v/>
      </c>
      <c r="M159" s="227">
        <f>IF(AC2025!AA158="","",AC2025!AA158)</f>
        <v/>
      </c>
      <c r="N159" s="227">
        <f>IF(AC2025!AD158="","",AC2025!AD158)</f>
        <v/>
      </c>
      <c r="O159" s="227">
        <f>IF(AC2025!AE158="","",AC2025!AE158)</f>
        <v/>
      </c>
      <c r="P159" s="227">
        <f>IF(AC2025!AF158="","",AC2025!AF158)</f>
        <v/>
      </c>
      <c r="Q159" s="226">
        <f>IF(AC2025!AI158="","",AC2025!AI158)</f>
        <v/>
      </c>
      <c r="R159" s="227">
        <f>IF(AC2025!AM158="","",AC2025!AM158)</f>
        <v/>
      </c>
      <c r="S159" s="226">
        <f>IF(AC2025!AP158="","",AC2025!AP158)</f>
        <v/>
      </c>
      <c r="T159" s="227">
        <f>IF(AC2025!AT158="","",AC2025!AT158)</f>
        <v/>
      </c>
    </row>
    <row r="160">
      <c r="B160" s="226">
        <f>IF(AC2025!B159="","",AC2025!B159)</f>
        <v/>
      </c>
      <c r="C160" s="226">
        <f>IF(AC2025!E159="","",AC2025!E159)</f>
        <v/>
      </c>
      <c r="D160" s="227">
        <f>IF(AC2025!H159="","",AC2025!H159)</f>
        <v/>
      </c>
      <c r="E160" s="227">
        <f>IF(AC2025!K159="","",AC2025!K159)</f>
        <v/>
      </c>
      <c r="F160" s="227">
        <f>IF(AC2025!L159="","",AC2025!L159)</f>
        <v/>
      </c>
      <c r="G160" s="227">
        <f>IF(AC2025!P159="","",AC2025!P159)</f>
        <v/>
      </c>
      <c r="H160" s="227">
        <f>IF(AC2025!O159="","",AC2025!O159)</f>
        <v/>
      </c>
      <c r="I160" s="227">
        <f>IF(AC2025!U159="","",AC2025!U159)</f>
        <v/>
      </c>
      <c r="J160" s="227">
        <f>IF(AC2025!X159="","",AC2025!X159)</f>
        <v/>
      </c>
      <c r="K160" s="227">
        <f>IF(AC2025!Y159="","",AC2025!Y159)</f>
        <v/>
      </c>
      <c r="L160" s="227">
        <f>IF(AC2025!Z159="","",AC2025!Z159)</f>
        <v/>
      </c>
      <c r="M160" s="227">
        <f>IF(AC2025!AA159="","",AC2025!AA159)</f>
        <v/>
      </c>
      <c r="N160" s="227">
        <f>IF(AC2025!AD159="","",AC2025!AD159)</f>
        <v/>
      </c>
      <c r="O160" s="227">
        <f>IF(AC2025!AE159="","",AC2025!AE159)</f>
        <v/>
      </c>
      <c r="P160" s="227">
        <f>IF(AC2025!AF159="","",AC2025!AF159)</f>
        <v/>
      </c>
      <c r="Q160" s="226">
        <f>IF(AC2025!AI159="","",AC2025!AI159)</f>
        <v/>
      </c>
      <c r="R160" s="227">
        <f>IF(AC2025!AM159="","",AC2025!AM159)</f>
        <v/>
      </c>
      <c r="S160" s="226">
        <f>IF(AC2025!AP159="","",AC2025!AP159)</f>
        <v/>
      </c>
      <c r="T160" s="227">
        <f>IF(AC2025!AT159="","",AC2025!AT159)</f>
        <v/>
      </c>
    </row>
    <row r="161">
      <c r="B161" s="226">
        <f>IF(AC2025!B160="","",AC2025!B160)</f>
        <v/>
      </c>
      <c r="C161" s="226">
        <f>IF(AC2025!E160="","",AC2025!E160)</f>
        <v/>
      </c>
      <c r="D161" s="227">
        <f>IF(AC2025!H160="","",AC2025!H160)</f>
        <v/>
      </c>
      <c r="E161" s="227">
        <f>IF(AC2025!K160="","",AC2025!K160)</f>
        <v/>
      </c>
      <c r="F161" s="227">
        <f>IF(AC2025!L160="","",AC2025!L160)</f>
        <v/>
      </c>
      <c r="G161" s="227">
        <f>IF(AC2025!P160="","",AC2025!P160)</f>
        <v/>
      </c>
      <c r="H161" s="227">
        <f>IF(AC2025!O160="","",AC2025!O160)</f>
        <v/>
      </c>
      <c r="I161" s="227">
        <f>IF(AC2025!U160="","",AC2025!U160)</f>
        <v/>
      </c>
      <c r="J161" s="227">
        <f>IF(AC2025!X160="","",AC2025!X160)</f>
        <v/>
      </c>
      <c r="K161" s="227">
        <f>IF(AC2025!Y160="","",AC2025!Y160)</f>
        <v/>
      </c>
      <c r="L161" s="227">
        <f>IF(AC2025!Z160="","",AC2025!Z160)</f>
        <v/>
      </c>
      <c r="M161" s="227">
        <f>IF(AC2025!AA160="","",AC2025!AA160)</f>
        <v/>
      </c>
      <c r="N161" s="227">
        <f>IF(AC2025!AD160="","",AC2025!AD160)</f>
        <v/>
      </c>
      <c r="O161" s="227">
        <f>IF(AC2025!AE160="","",AC2025!AE160)</f>
        <v/>
      </c>
      <c r="P161" s="227">
        <f>IF(AC2025!AF160="","",AC2025!AF160)</f>
        <v/>
      </c>
      <c r="Q161" s="226">
        <f>IF(AC2025!AI160="","",AC2025!AI160)</f>
        <v/>
      </c>
      <c r="R161" s="227">
        <f>IF(AC2025!AM160="","",AC2025!AM160)</f>
        <v/>
      </c>
      <c r="S161" s="226">
        <f>IF(AC2025!AP160="","",AC2025!AP160)</f>
        <v/>
      </c>
      <c r="T161" s="227">
        <f>IF(AC2025!AT160="","",AC2025!AT160)</f>
        <v/>
      </c>
    </row>
    <row r="162">
      <c r="B162" s="226">
        <f>IF(AC2025!B161="","",AC2025!B161)</f>
        <v/>
      </c>
      <c r="C162" s="226">
        <f>IF(AC2025!E161="","",AC2025!E161)</f>
        <v/>
      </c>
      <c r="D162" s="227">
        <f>IF(AC2025!H161="","",AC2025!H161)</f>
        <v/>
      </c>
      <c r="E162" s="227">
        <f>IF(AC2025!K161="","",AC2025!K161)</f>
        <v/>
      </c>
      <c r="F162" s="227">
        <f>IF(AC2025!L161="","",AC2025!L161)</f>
        <v/>
      </c>
      <c r="G162" s="227">
        <f>IF(AC2025!P161="","",AC2025!P161)</f>
        <v/>
      </c>
      <c r="H162" s="227">
        <f>IF(AC2025!O161="","",AC2025!O161)</f>
        <v/>
      </c>
      <c r="I162" s="227">
        <f>IF(AC2025!U161="","",AC2025!U161)</f>
        <v/>
      </c>
      <c r="J162" s="227">
        <f>IF(AC2025!X161="","",AC2025!X161)</f>
        <v/>
      </c>
      <c r="K162" s="227">
        <f>IF(AC2025!Y161="","",AC2025!Y161)</f>
        <v/>
      </c>
      <c r="L162" s="227">
        <f>IF(AC2025!Z161="","",AC2025!Z161)</f>
        <v/>
      </c>
      <c r="M162" s="227">
        <f>IF(AC2025!AA161="","",AC2025!AA161)</f>
        <v/>
      </c>
      <c r="N162" s="227">
        <f>IF(AC2025!AD161="","",AC2025!AD161)</f>
        <v/>
      </c>
      <c r="O162" s="227">
        <f>IF(AC2025!AE161="","",AC2025!AE161)</f>
        <v/>
      </c>
      <c r="P162" s="227">
        <f>IF(AC2025!AF161="","",AC2025!AF161)</f>
        <v/>
      </c>
      <c r="Q162" s="226">
        <f>IF(AC2025!AI161="","",AC2025!AI161)</f>
        <v/>
      </c>
      <c r="R162" s="227">
        <f>IF(AC2025!AM161="","",AC2025!AM161)</f>
        <v/>
      </c>
      <c r="S162" s="226">
        <f>IF(AC2025!AP161="","",AC2025!AP161)</f>
        <v/>
      </c>
      <c r="T162" s="227">
        <f>IF(AC2025!AT161="","",AC2025!AT161)</f>
        <v/>
      </c>
    </row>
    <row r="163">
      <c r="B163" s="226">
        <f>IF(AC2025!B162="","",AC2025!B162)</f>
        <v/>
      </c>
      <c r="C163" s="226">
        <f>IF(AC2025!E162="","",AC2025!E162)</f>
        <v/>
      </c>
      <c r="D163" s="227">
        <f>IF(AC2025!H162="","",AC2025!H162)</f>
        <v/>
      </c>
      <c r="E163" s="227">
        <f>IF(AC2025!K162="","",AC2025!K162)</f>
        <v/>
      </c>
      <c r="F163" s="227">
        <f>IF(AC2025!L162="","",AC2025!L162)</f>
        <v/>
      </c>
      <c r="G163" s="227">
        <f>IF(AC2025!P162="","",AC2025!P162)</f>
        <v/>
      </c>
      <c r="H163" s="227">
        <f>IF(AC2025!O162="","",AC2025!O162)</f>
        <v/>
      </c>
      <c r="I163" s="227">
        <f>IF(AC2025!U162="","",AC2025!U162)</f>
        <v/>
      </c>
      <c r="J163" s="227">
        <f>IF(AC2025!X162="","",AC2025!X162)</f>
        <v/>
      </c>
      <c r="K163" s="227">
        <f>IF(AC2025!Y162="","",AC2025!Y162)</f>
        <v/>
      </c>
      <c r="L163" s="227">
        <f>IF(AC2025!Z162="","",AC2025!Z162)</f>
        <v/>
      </c>
      <c r="M163" s="227">
        <f>IF(AC2025!AA162="","",AC2025!AA162)</f>
        <v/>
      </c>
      <c r="N163" s="227">
        <f>IF(AC2025!AD162="","",AC2025!AD162)</f>
        <v/>
      </c>
      <c r="O163" s="227">
        <f>IF(AC2025!AE162="","",AC2025!AE162)</f>
        <v/>
      </c>
      <c r="P163" s="227">
        <f>IF(AC2025!AF162="","",AC2025!AF162)</f>
        <v/>
      </c>
      <c r="Q163" s="226">
        <f>IF(AC2025!AI162="","",AC2025!AI162)</f>
        <v/>
      </c>
      <c r="R163" s="227">
        <f>IF(AC2025!AM162="","",AC2025!AM162)</f>
        <v/>
      </c>
      <c r="S163" s="226">
        <f>IF(AC2025!AP162="","",AC2025!AP162)</f>
        <v/>
      </c>
      <c r="T163" s="227">
        <f>IF(AC2025!AT162="","",AC2025!AT162)</f>
        <v/>
      </c>
    </row>
    <row r="164">
      <c r="B164" s="226">
        <f>IF(AC2025!B163="","",AC2025!B163)</f>
        <v/>
      </c>
      <c r="C164" s="226">
        <f>IF(AC2025!E163="","",AC2025!E163)</f>
        <v/>
      </c>
      <c r="D164" s="227">
        <f>IF(AC2025!H163="","",AC2025!H163)</f>
        <v/>
      </c>
      <c r="E164" s="227">
        <f>IF(AC2025!K163="","",AC2025!K163)</f>
        <v/>
      </c>
      <c r="F164" s="227">
        <f>IF(AC2025!L163="","",AC2025!L163)</f>
        <v/>
      </c>
      <c r="G164" s="227">
        <f>IF(AC2025!P163="","",AC2025!P163)</f>
        <v/>
      </c>
      <c r="H164" s="227">
        <f>IF(AC2025!O163="","",AC2025!O163)</f>
        <v/>
      </c>
      <c r="I164" s="227">
        <f>IF(AC2025!U163="","",AC2025!U163)</f>
        <v/>
      </c>
      <c r="J164" s="227">
        <f>IF(AC2025!X163="","",AC2025!X163)</f>
        <v/>
      </c>
      <c r="K164" s="227">
        <f>IF(AC2025!Y163="","",AC2025!Y163)</f>
        <v/>
      </c>
      <c r="L164" s="227">
        <f>IF(AC2025!Z163="","",AC2025!Z163)</f>
        <v/>
      </c>
      <c r="M164" s="227">
        <f>IF(AC2025!AA163="","",AC2025!AA163)</f>
        <v/>
      </c>
      <c r="N164" s="227">
        <f>IF(AC2025!AD163="","",AC2025!AD163)</f>
        <v/>
      </c>
      <c r="O164" s="227">
        <f>IF(AC2025!AE163="","",AC2025!AE163)</f>
        <v/>
      </c>
      <c r="P164" s="227">
        <f>IF(AC2025!AF163="","",AC2025!AF163)</f>
        <v/>
      </c>
      <c r="Q164" s="226">
        <f>IF(AC2025!AI163="","",AC2025!AI163)</f>
        <v/>
      </c>
      <c r="R164" s="227">
        <f>IF(AC2025!AM163="","",AC2025!AM163)</f>
        <v/>
      </c>
      <c r="S164" s="226">
        <f>IF(AC2025!AP163="","",AC2025!AP163)</f>
        <v/>
      </c>
      <c r="T164" s="227">
        <f>IF(AC2025!AT163="","",AC2025!AT163)</f>
        <v/>
      </c>
    </row>
    <row r="165">
      <c r="B165" s="226">
        <f>IF(AC2025!B164="","",AC2025!B164)</f>
        <v/>
      </c>
      <c r="C165" s="226">
        <f>IF(AC2025!E164="","",AC2025!E164)</f>
        <v/>
      </c>
      <c r="D165" s="227">
        <f>IF(AC2025!H164="","",AC2025!H164)</f>
        <v/>
      </c>
      <c r="E165" s="227">
        <f>IF(AC2025!K164="","",AC2025!K164)</f>
        <v/>
      </c>
      <c r="F165" s="227">
        <f>IF(AC2025!L164="","",AC2025!L164)</f>
        <v/>
      </c>
      <c r="G165" s="227">
        <f>IF(AC2025!P164="","",AC2025!P164)</f>
        <v/>
      </c>
      <c r="H165" s="227">
        <f>IF(AC2025!O164="","",AC2025!O164)</f>
        <v/>
      </c>
      <c r="I165" s="227">
        <f>IF(AC2025!U164="","",AC2025!U164)</f>
        <v/>
      </c>
      <c r="J165" s="227">
        <f>IF(AC2025!X164="","",AC2025!X164)</f>
        <v/>
      </c>
      <c r="K165" s="227">
        <f>IF(AC2025!Y164="","",AC2025!Y164)</f>
        <v/>
      </c>
      <c r="L165" s="227">
        <f>IF(AC2025!Z164="","",AC2025!Z164)</f>
        <v/>
      </c>
      <c r="M165" s="227">
        <f>IF(AC2025!AA164="","",AC2025!AA164)</f>
        <v/>
      </c>
      <c r="N165" s="227">
        <f>IF(AC2025!AD164="","",AC2025!AD164)</f>
        <v/>
      </c>
      <c r="O165" s="227">
        <f>IF(AC2025!AE164="","",AC2025!AE164)</f>
        <v/>
      </c>
      <c r="P165" s="227">
        <f>IF(AC2025!AF164="","",AC2025!AF164)</f>
        <v/>
      </c>
      <c r="Q165" s="226">
        <f>IF(AC2025!AI164="","",AC2025!AI164)</f>
        <v/>
      </c>
      <c r="R165" s="227">
        <f>IF(AC2025!AM164="","",AC2025!AM164)</f>
        <v/>
      </c>
      <c r="S165" s="226">
        <f>IF(AC2025!AP164="","",AC2025!AP164)</f>
        <v/>
      </c>
      <c r="T165" s="227">
        <f>IF(AC2025!AT164="","",AC2025!AT164)</f>
        <v/>
      </c>
    </row>
    <row r="166">
      <c r="B166" s="226">
        <f>IF(AC2025!B165="","",AC2025!B165)</f>
        <v/>
      </c>
      <c r="C166" s="226">
        <f>IF(AC2025!E165="","",AC2025!E165)</f>
        <v/>
      </c>
      <c r="D166" s="227">
        <f>IF(AC2025!H165="","",AC2025!H165)</f>
        <v/>
      </c>
      <c r="E166" s="227">
        <f>IF(AC2025!K165="","",AC2025!K165)</f>
        <v/>
      </c>
      <c r="F166" s="227">
        <f>IF(AC2025!L165="","",AC2025!L165)</f>
        <v/>
      </c>
      <c r="G166" s="227">
        <f>IF(AC2025!P165="","",AC2025!P165)</f>
        <v/>
      </c>
      <c r="H166" s="227">
        <f>IF(AC2025!O165="","",AC2025!O165)</f>
        <v/>
      </c>
      <c r="I166" s="227">
        <f>IF(AC2025!U165="","",AC2025!U165)</f>
        <v/>
      </c>
      <c r="J166" s="227">
        <f>IF(AC2025!X165="","",AC2025!X165)</f>
        <v/>
      </c>
      <c r="K166" s="227">
        <f>IF(AC2025!Y165="","",AC2025!Y165)</f>
        <v/>
      </c>
      <c r="L166" s="227">
        <f>IF(AC2025!Z165="","",AC2025!Z165)</f>
        <v/>
      </c>
      <c r="M166" s="227">
        <f>IF(AC2025!AA165="","",AC2025!AA165)</f>
        <v/>
      </c>
      <c r="N166" s="227">
        <f>IF(AC2025!AD165="","",AC2025!AD165)</f>
        <v/>
      </c>
      <c r="O166" s="227">
        <f>IF(AC2025!AE165="","",AC2025!AE165)</f>
        <v/>
      </c>
      <c r="P166" s="227">
        <f>IF(AC2025!AF165="","",AC2025!AF165)</f>
        <v/>
      </c>
      <c r="Q166" s="226">
        <f>IF(AC2025!AI165="","",AC2025!AI165)</f>
        <v/>
      </c>
      <c r="R166" s="227">
        <f>IF(AC2025!AM165="","",AC2025!AM165)</f>
        <v/>
      </c>
      <c r="S166" s="226">
        <f>IF(AC2025!AP165="","",AC2025!AP165)</f>
        <v/>
      </c>
      <c r="T166" s="227">
        <f>IF(AC2025!AT165="","",AC2025!AT165)</f>
        <v/>
      </c>
    </row>
    <row r="167">
      <c r="B167" s="226">
        <f>IF(AC2025!B166="","",AC2025!B166)</f>
        <v/>
      </c>
      <c r="C167" s="226">
        <f>IF(AC2025!E166="","",AC2025!E166)</f>
        <v/>
      </c>
      <c r="D167" s="227">
        <f>IF(AC2025!H166="","",AC2025!H166)</f>
        <v/>
      </c>
      <c r="E167" s="227">
        <f>IF(AC2025!K166="","",AC2025!K166)</f>
        <v/>
      </c>
      <c r="F167" s="227">
        <f>IF(AC2025!L166="","",AC2025!L166)</f>
        <v/>
      </c>
      <c r="G167" s="227">
        <f>IF(AC2025!P166="","",AC2025!P166)</f>
        <v/>
      </c>
      <c r="H167" s="227">
        <f>IF(AC2025!O166="","",AC2025!O166)</f>
        <v/>
      </c>
      <c r="I167" s="227">
        <f>IF(AC2025!U166="","",AC2025!U166)</f>
        <v/>
      </c>
      <c r="J167" s="227">
        <f>IF(AC2025!X166="","",AC2025!X166)</f>
        <v/>
      </c>
      <c r="K167" s="227">
        <f>IF(AC2025!Y166="","",AC2025!Y166)</f>
        <v/>
      </c>
      <c r="L167" s="227">
        <f>IF(AC2025!Z166="","",AC2025!Z166)</f>
        <v/>
      </c>
      <c r="M167" s="227">
        <f>IF(AC2025!AA166="","",AC2025!AA166)</f>
        <v/>
      </c>
      <c r="N167" s="227">
        <f>IF(AC2025!AD166="","",AC2025!AD166)</f>
        <v/>
      </c>
      <c r="O167" s="227">
        <f>IF(AC2025!AE166="","",AC2025!AE166)</f>
        <v/>
      </c>
      <c r="P167" s="227">
        <f>IF(AC2025!AF166="","",AC2025!AF166)</f>
        <v/>
      </c>
      <c r="Q167" s="226">
        <f>IF(AC2025!AI166="","",AC2025!AI166)</f>
        <v/>
      </c>
      <c r="R167" s="227">
        <f>IF(AC2025!AM166="","",AC2025!AM166)</f>
        <v/>
      </c>
      <c r="S167" s="226">
        <f>IF(AC2025!AP166="","",AC2025!AP166)</f>
        <v/>
      </c>
      <c r="T167" s="227">
        <f>IF(AC2025!AT166="","",AC2025!AT166)</f>
        <v/>
      </c>
    </row>
    <row r="168">
      <c r="B168" s="226">
        <f>IF(AC2025!B167="","",AC2025!B167)</f>
        <v/>
      </c>
      <c r="C168" s="226">
        <f>IF(AC2025!E167="","",AC2025!E167)</f>
        <v/>
      </c>
      <c r="D168" s="227">
        <f>IF(AC2025!H167="","",AC2025!H167)</f>
        <v/>
      </c>
      <c r="E168" s="227">
        <f>IF(AC2025!K167="","",AC2025!K167)</f>
        <v/>
      </c>
      <c r="F168" s="227">
        <f>IF(AC2025!L167="","",AC2025!L167)</f>
        <v/>
      </c>
      <c r="G168" s="227">
        <f>IF(AC2025!P167="","",AC2025!P167)</f>
        <v/>
      </c>
      <c r="H168" s="227">
        <f>IF(AC2025!O167="","",AC2025!O167)</f>
        <v/>
      </c>
      <c r="I168" s="227">
        <f>IF(AC2025!U167="","",AC2025!U167)</f>
        <v/>
      </c>
      <c r="J168" s="227">
        <f>IF(AC2025!X167="","",AC2025!X167)</f>
        <v/>
      </c>
      <c r="K168" s="227">
        <f>IF(AC2025!Y167="","",AC2025!Y167)</f>
        <v/>
      </c>
      <c r="L168" s="227">
        <f>IF(AC2025!Z167="","",AC2025!Z167)</f>
        <v/>
      </c>
      <c r="M168" s="227">
        <f>IF(AC2025!AA167="","",AC2025!AA167)</f>
        <v/>
      </c>
      <c r="N168" s="227">
        <f>IF(AC2025!AD167="","",AC2025!AD167)</f>
        <v/>
      </c>
      <c r="O168" s="227">
        <f>IF(AC2025!AE167="","",AC2025!AE167)</f>
        <v/>
      </c>
      <c r="P168" s="227">
        <f>IF(AC2025!AF167="","",AC2025!AF167)</f>
        <v/>
      </c>
      <c r="Q168" s="226">
        <f>IF(AC2025!AI167="","",AC2025!AI167)</f>
        <v/>
      </c>
      <c r="R168" s="227">
        <f>IF(AC2025!AM167="","",AC2025!AM167)</f>
        <v/>
      </c>
      <c r="S168" s="226">
        <f>IF(AC2025!AP167="","",AC2025!AP167)</f>
        <v/>
      </c>
      <c r="T168" s="227">
        <f>IF(AC2025!AT167="","",AC2025!AT167)</f>
        <v/>
      </c>
    </row>
    <row r="169">
      <c r="B169" s="226">
        <f>IF(AC2025!B168="","",AC2025!B168)</f>
        <v/>
      </c>
      <c r="C169" s="226">
        <f>IF(AC2025!E168="","",AC2025!E168)</f>
        <v/>
      </c>
      <c r="D169" s="227">
        <f>IF(AC2025!H168="","",AC2025!H168)</f>
        <v/>
      </c>
      <c r="E169" s="227">
        <f>IF(AC2025!K168="","",AC2025!K168)</f>
        <v/>
      </c>
      <c r="F169" s="227">
        <f>IF(AC2025!L168="","",AC2025!L168)</f>
        <v/>
      </c>
      <c r="G169" s="227">
        <f>IF(AC2025!P168="","",AC2025!P168)</f>
        <v/>
      </c>
      <c r="H169" s="227">
        <f>IF(AC2025!O168="","",AC2025!O168)</f>
        <v/>
      </c>
      <c r="I169" s="227">
        <f>IF(AC2025!U168="","",AC2025!U168)</f>
        <v/>
      </c>
      <c r="J169" s="227">
        <f>IF(AC2025!X168="","",AC2025!X168)</f>
        <v/>
      </c>
      <c r="K169" s="227">
        <f>IF(AC2025!Y168="","",AC2025!Y168)</f>
        <v/>
      </c>
      <c r="L169" s="227">
        <f>IF(AC2025!Z168="","",AC2025!Z168)</f>
        <v/>
      </c>
      <c r="M169" s="227">
        <f>IF(AC2025!AA168="","",AC2025!AA168)</f>
        <v/>
      </c>
      <c r="N169" s="227">
        <f>IF(AC2025!AD168="","",AC2025!AD168)</f>
        <v/>
      </c>
      <c r="O169" s="227">
        <f>IF(AC2025!AE168="","",AC2025!AE168)</f>
        <v/>
      </c>
      <c r="P169" s="227">
        <f>IF(AC2025!AF168="","",AC2025!AF168)</f>
        <v/>
      </c>
      <c r="Q169" s="226">
        <f>IF(AC2025!AI168="","",AC2025!AI168)</f>
        <v/>
      </c>
      <c r="R169" s="227">
        <f>IF(AC2025!AM168="","",AC2025!AM168)</f>
        <v/>
      </c>
      <c r="S169" s="226">
        <f>IF(AC2025!AP168="","",AC2025!AP168)</f>
        <v/>
      </c>
      <c r="T169" s="227">
        <f>IF(AC2025!AT168="","",AC2025!AT168)</f>
        <v/>
      </c>
    </row>
    <row r="170">
      <c r="B170" s="226">
        <f>IF(AC2025!B169="","",AC2025!B169)</f>
        <v/>
      </c>
      <c r="C170" s="226">
        <f>IF(AC2025!E169="","",AC2025!E169)</f>
        <v/>
      </c>
      <c r="D170" s="227">
        <f>IF(AC2025!H169="","",AC2025!H169)</f>
        <v/>
      </c>
      <c r="E170" s="227">
        <f>IF(AC2025!K169="","",AC2025!K169)</f>
        <v/>
      </c>
      <c r="F170" s="227">
        <f>IF(AC2025!L169="","",AC2025!L169)</f>
        <v/>
      </c>
      <c r="G170" s="227">
        <f>IF(AC2025!P169="","",AC2025!P169)</f>
        <v/>
      </c>
      <c r="H170" s="227">
        <f>IF(AC2025!O169="","",AC2025!O169)</f>
        <v/>
      </c>
      <c r="I170" s="227">
        <f>IF(AC2025!U169="","",AC2025!U169)</f>
        <v/>
      </c>
      <c r="J170" s="227">
        <f>IF(AC2025!X169="","",AC2025!X169)</f>
        <v/>
      </c>
      <c r="K170" s="227">
        <f>IF(AC2025!Y169="","",AC2025!Y169)</f>
        <v/>
      </c>
      <c r="L170" s="227">
        <f>IF(AC2025!Z169="","",AC2025!Z169)</f>
        <v/>
      </c>
      <c r="M170" s="227">
        <f>IF(AC2025!AA169="","",AC2025!AA169)</f>
        <v/>
      </c>
      <c r="N170" s="227">
        <f>IF(AC2025!AD169="","",AC2025!AD169)</f>
        <v/>
      </c>
      <c r="O170" s="227">
        <f>IF(AC2025!AE169="","",AC2025!AE169)</f>
        <v/>
      </c>
      <c r="P170" s="227">
        <f>IF(AC2025!AF169="","",AC2025!AF169)</f>
        <v/>
      </c>
      <c r="Q170" s="226">
        <f>IF(AC2025!AI169="","",AC2025!AI169)</f>
        <v/>
      </c>
      <c r="R170" s="227">
        <f>IF(AC2025!AM169="","",AC2025!AM169)</f>
        <v/>
      </c>
      <c r="S170" s="226">
        <f>IF(AC2025!AP169="","",AC2025!AP169)</f>
        <v/>
      </c>
      <c r="T170" s="227">
        <f>IF(AC2025!AT169="","",AC2025!AT169)</f>
        <v/>
      </c>
    </row>
    <row r="171">
      <c r="B171" s="226">
        <f>IF(AC2025!B170="","",AC2025!B170)</f>
        <v/>
      </c>
      <c r="C171" s="226">
        <f>IF(AC2025!E170="","",AC2025!E170)</f>
        <v/>
      </c>
      <c r="D171" s="227">
        <f>IF(AC2025!H170="","",AC2025!H170)</f>
        <v/>
      </c>
      <c r="E171" s="227">
        <f>IF(AC2025!K170="","",AC2025!K170)</f>
        <v/>
      </c>
      <c r="F171" s="227">
        <f>IF(AC2025!L170="","",AC2025!L170)</f>
        <v/>
      </c>
      <c r="G171" s="227">
        <f>IF(AC2025!P170="","",AC2025!P170)</f>
        <v/>
      </c>
      <c r="H171" s="227">
        <f>IF(AC2025!O170="","",AC2025!O170)</f>
        <v/>
      </c>
      <c r="I171" s="227">
        <f>IF(AC2025!U170="","",AC2025!U170)</f>
        <v/>
      </c>
      <c r="J171" s="227">
        <f>IF(AC2025!X170="","",AC2025!X170)</f>
        <v/>
      </c>
      <c r="K171" s="227">
        <f>IF(AC2025!Y170="","",AC2025!Y170)</f>
        <v/>
      </c>
      <c r="L171" s="227">
        <f>IF(AC2025!Z170="","",AC2025!Z170)</f>
        <v/>
      </c>
      <c r="M171" s="227">
        <f>IF(AC2025!AA170="","",AC2025!AA170)</f>
        <v/>
      </c>
      <c r="N171" s="227">
        <f>IF(AC2025!AD170="","",AC2025!AD170)</f>
        <v/>
      </c>
      <c r="O171" s="227">
        <f>IF(AC2025!AE170="","",AC2025!AE170)</f>
        <v/>
      </c>
      <c r="P171" s="227">
        <f>IF(AC2025!AF170="","",AC2025!AF170)</f>
        <v/>
      </c>
      <c r="Q171" s="226">
        <f>IF(AC2025!AI170="","",AC2025!AI170)</f>
        <v/>
      </c>
      <c r="R171" s="227">
        <f>IF(AC2025!AM170="","",AC2025!AM170)</f>
        <v/>
      </c>
      <c r="S171" s="226">
        <f>IF(AC2025!AP170="","",AC2025!AP170)</f>
        <v/>
      </c>
      <c r="T171" s="227">
        <f>IF(AC2025!AT170="","",AC2025!AT170)</f>
        <v/>
      </c>
    </row>
    <row r="172">
      <c r="B172" s="226">
        <f>IF(AC2025!B171="","",AC2025!B171)</f>
        <v/>
      </c>
      <c r="C172" s="226">
        <f>IF(AC2025!E171="","",AC2025!E171)</f>
        <v/>
      </c>
      <c r="D172" s="227">
        <f>IF(AC2025!H171="","",AC2025!H171)</f>
        <v/>
      </c>
      <c r="E172" s="227">
        <f>IF(AC2025!K171="","",AC2025!K171)</f>
        <v/>
      </c>
      <c r="F172" s="227">
        <f>IF(AC2025!L171="","",AC2025!L171)</f>
        <v/>
      </c>
      <c r="G172" s="227">
        <f>IF(AC2025!P171="","",AC2025!P171)</f>
        <v/>
      </c>
      <c r="H172" s="227">
        <f>IF(AC2025!O171="","",AC2025!O171)</f>
        <v/>
      </c>
      <c r="I172" s="227">
        <f>IF(AC2025!U171="","",AC2025!U171)</f>
        <v/>
      </c>
      <c r="J172" s="227">
        <f>IF(AC2025!X171="","",AC2025!X171)</f>
        <v/>
      </c>
      <c r="K172" s="227">
        <f>IF(AC2025!Y171="","",AC2025!Y171)</f>
        <v/>
      </c>
      <c r="L172" s="227">
        <f>IF(AC2025!Z171="","",AC2025!Z171)</f>
        <v/>
      </c>
      <c r="M172" s="227">
        <f>IF(AC2025!AA171="","",AC2025!AA171)</f>
        <v/>
      </c>
      <c r="N172" s="227">
        <f>IF(AC2025!AD171="","",AC2025!AD171)</f>
        <v/>
      </c>
      <c r="O172" s="227">
        <f>IF(AC2025!AE171="","",AC2025!AE171)</f>
        <v/>
      </c>
      <c r="P172" s="227">
        <f>IF(AC2025!AF171="","",AC2025!AF171)</f>
        <v/>
      </c>
      <c r="Q172" s="226">
        <f>IF(AC2025!AI171="","",AC2025!AI171)</f>
        <v/>
      </c>
      <c r="R172" s="227">
        <f>IF(AC2025!AM171="","",AC2025!AM171)</f>
        <v/>
      </c>
      <c r="S172" s="226">
        <f>IF(AC2025!AP171="","",AC2025!AP171)</f>
        <v/>
      </c>
      <c r="T172" s="227">
        <f>IF(AC2025!AT171="","",AC2025!AT171)</f>
        <v/>
      </c>
    </row>
    <row r="173">
      <c r="B173" s="226">
        <f>IF(AC2025!B172="","",AC2025!B172)</f>
        <v/>
      </c>
      <c r="C173" s="226">
        <f>IF(AC2025!E172="","",AC2025!E172)</f>
        <v/>
      </c>
      <c r="D173" s="227">
        <f>IF(AC2025!H172="","",AC2025!H172)</f>
        <v/>
      </c>
      <c r="E173" s="227">
        <f>IF(AC2025!K172="","",AC2025!K172)</f>
        <v/>
      </c>
      <c r="F173" s="227">
        <f>IF(AC2025!L172="","",AC2025!L172)</f>
        <v/>
      </c>
      <c r="G173" s="227">
        <f>IF(AC2025!P172="","",AC2025!P172)</f>
        <v/>
      </c>
      <c r="H173" s="227">
        <f>IF(AC2025!O172="","",AC2025!O172)</f>
        <v/>
      </c>
      <c r="I173" s="227">
        <f>IF(AC2025!U172="","",AC2025!U172)</f>
        <v/>
      </c>
      <c r="J173" s="227">
        <f>IF(AC2025!X172="","",AC2025!X172)</f>
        <v/>
      </c>
      <c r="K173" s="227">
        <f>IF(AC2025!Y172="","",AC2025!Y172)</f>
        <v/>
      </c>
      <c r="L173" s="227">
        <f>IF(AC2025!Z172="","",AC2025!Z172)</f>
        <v/>
      </c>
      <c r="M173" s="227">
        <f>IF(AC2025!AA172="","",AC2025!AA172)</f>
        <v/>
      </c>
      <c r="N173" s="227">
        <f>IF(AC2025!AD172="","",AC2025!AD172)</f>
        <v/>
      </c>
      <c r="O173" s="227">
        <f>IF(AC2025!AE172="","",AC2025!AE172)</f>
        <v/>
      </c>
      <c r="P173" s="227">
        <f>IF(AC2025!AF172="","",AC2025!AF172)</f>
        <v/>
      </c>
      <c r="Q173" s="226">
        <f>IF(AC2025!AI172="","",AC2025!AI172)</f>
        <v/>
      </c>
      <c r="R173" s="227">
        <f>IF(AC2025!AM172="","",AC2025!AM172)</f>
        <v/>
      </c>
      <c r="S173" s="226">
        <f>IF(AC2025!AP172="","",AC2025!AP172)</f>
        <v/>
      </c>
      <c r="T173" s="227">
        <f>IF(AC2025!AT172="","",AC2025!AT172)</f>
        <v/>
      </c>
    </row>
    <row r="174">
      <c r="B174" s="226">
        <f>IF(AC2025!B173="","",AC2025!B173)</f>
        <v/>
      </c>
      <c r="C174" s="226">
        <f>IF(AC2025!E173="","",AC2025!E173)</f>
        <v/>
      </c>
      <c r="D174" s="227">
        <f>IF(AC2025!H173="","",AC2025!H173)</f>
        <v/>
      </c>
      <c r="E174" s="227">
        <f>IF(AC2025!K173="","",AC2025!K173)</f>
        <v/>
      </c>
      <c r="F174" s="227">
        <f>IF(AC2025!L173="","",AC2025!L173)</f>
        <v/>
      </c>
      <c r="G174" s="227">
        <f>IF(AC2025!P173="","",AC2025!P173)</f>
        <v/>
      </c>
      <c r="H174" s="227">
        <f>IF(AC2025!O173="","",AC2025!O173)</f>
        <v/>
      </c>
      <c r="I174" s="227">
        <f>IF(AC2025!U173="","",AC2025!U173)</f>
        <v/>
      </c>
      <c r="J174" s="227">
        <f>IF(AC2025!X173="","",AC2025!X173)</f>
        <v/>
      </c>
      <c r="K174" s="227">
        <f>IF(AC2025!Y173="","",AC2025!Y173)</f>
        <v/>
      </c>
      <c r="L174" s="227">
        <f>IF(AC2025!Z173="","",AC2025!Z173)</f>
        <v/>
      </c>
      <c r="M174" s="227">
        <f>IF(AC2025!AA173="","",AC2025!AA173)</f>
        <v/>
      </c>
      <c r="N174" s="227">
        <f>IF(AC2025!AD173="","",AC2025!AD173)</f>
        <v/>
      </c>
      <c r="O174" s="227">
        <f>IF(AC2025!AE173="","",AC2025!AE173)</f>
        <v/>
      </c>
      <c r="P174" s="227">
        <f>IF(AC2025!AF173="","",AC2025!AF173)</f>
        <v/>
      </c>
      <c r="Q174" s="226">
        <f>IF(AC2025!AI173="","",AC2025!AI173)</f>
        <v/>
      </c>
      <c r="R174" s="227">
        <f>IF(AC2025!AM173="","",AC2025!AM173)</f>
        <v/>
      </c>
      <c r="S174" s="226">
        <f>IF(AC2025!AP173="","",AC2025!AP173)</f>
        <v/>
      </c>
      <c r="T174" s="227">
        <f>IF(AC2025!AT173="","",AC2025!AT173)</f>
        <v/>
      </c>
    </row>
    <row r="175">
      <c r="B175" s="226">
        <f>IF(AC2025!B174="","",AC2025!B174)</f>
        <v/>
      </c>
      <c r="C175" s="226">
        <f>IF(AC2025!E174="","",AC2025!E174)</f>
        <v/>
      </c>
      <c r="D175" s="227">
        <f>IF(AC2025!H174="","",AC2025!H174)</f>
        <v/>
      </c>
      <c r="E175" s="227">
        <f>IF(AC2025!K174="","",AC2025!K174)</f>
        <v/>
      </c>
      <c r="F175" s="227">
        <f>IF(AC2025!L174="","",AC2025!L174)</f>
        <v/>
      </c>
      <c r="G175" s="227">
        <f>IF(AC2025!P174="","",AC2025!P174)</f>
        <v/>
      </c>
      <c r="H175" s="227">
        <f>IF(AC2025!O174="","",AC2025!O174)</f>
        <v/>
      </c>
      <c r="I175" s="227">
        <f>IF(AC2025!U174="","",AC2025!U174)</f>
        <v/>
      </c>
      <c r="J175" s="227">
        <f>IF(AC2025!X174="","",AC2025!X174)</f>
        <v/>
      </c>
      <c r="K175" s="227">
        <f>IF(AC2025!Y174="","",AC2025!Y174)</f>
        <v/>
      </c>
      <c r="L175" s="227">
        <f>IF(AC2025!Z174="","",AC2025!Z174)</f>
        <v/>
      </c>
      <c r="M175" s="227">
        <f>IF(AC2025!AA174="","",AC2025!AA174)</f>
        <v/>
      </c>
      <c r="N175" s="227">
        <f>IF(AC2025!AD174="","",AC2025!AD174)</f>
        <v/>
      </c>
      <c r="O175" s="227">
        <f>IF(AC2025!AE174="","",AC2025!AE174)</f>
        <v/>
      </c>
      <c r="P175" s="227">
        <f>IF(AC2025!AF174="","",AC2025!AF174)</f>
        <v/>
      </c>
      <c r="Q175" s="226">
        <f>IF(AC2025!AI174="","",AC2025!AI174)</f>
        <v/>
      </c>
      <c r="R175" s="227">
        <f>IF(AC2025!AM174="","",AC2025!AM174)</f>
        <v/>
      </c>
      <c r="S175" s="226">
        <f>IF(AC2025!AP174="","",AC2025!AP174)</f>
        <v/>
      </c>
      <c r="T175" s="227">
        <f>IF(AC2025!AT174="","",AC2025!AT174)</f>
        <v/>
      </c>
    </row>
    <row r="176">
      <c r="B176" s="226">
        <f>IF(AC2025!B175="","",AC2025!B175)</f>
        <v/>
      </c>
      <c r="C176" s="226">
        <f>IF(AC2025!E175="","",AC2025!E175)</f>
        <v/>
      </c>
      <c r="D176" s="227">
        <f>IF(AC2025!H175="","",AC2025!H175)</f>
        <v/>
      </c>
      <c r="E176" s="227">
        <f>IF(AC2025!K175="","",AC2025!K175)</f>
        <v/>
      </c>
      <c r="F176" s="227">
        <f>IF(AC2025!L175="","",AC2025!L175)</f>
        <v/>
      </c>
      <c r="G176" s="227">
        <f>IF(AC2025!P175="","",AC2025!P175)</f>
        <v/>
      </c>
      <c r="H176" s="227">
        <f>IF(AC2025!O175="","",AC2025!O175)</f>
        <v/>
      </c>
      <c r="I176" s="227">
        <f>IF(AC2025!U175="","",AC2025!U175)</f>
        <v/>
      </c>
      <c r="J176" s="227">
        <f>IF(AC2025!X175="","",AC2025!X175)</f>
        <v/>
      </c>
      <c r="K176" s="227">
        <f>IF(AC2025!Y175="","",AC2025!Y175)</f>
        <v/>
      </c>
      <c r="L176" s="227">
        <f>IF(AC2025!Z175="","",AC2025!Z175)</f>
        <v/>
      </c>
      <c r="M176" s="227">
        <f>IF(AC2025!AA175="","",AC2025!AA175)</f>
        <v/>
      </c>
      <c r="N176" s="227">
        <f>IF(AC2025!AD175="","",AC2025!AD175)</f>
        <v/>
      </c>
      <c r="O176" s="227">
        <f>IF(AC2025!AE175="","",AC2025!AE175)</f>
        <v/>
      </c>
      <c r="P176" s="227">
        <f>IF(AC2025!AF175="","",AC2025!AF175)</f>
        <v/>
      </c>
      <c r="Q176" s="226">
        <f>IF(AC2025!AI175="","",AC2025!AI175)</f>
        <v/>
      </c>
      <c r="R176" s="227">
        <f>IF(AC2025!AM175="","",AC2025!AM175)</f>
        <v/>
      </c>
      <c r="S176" s="226">
        <f>IF(AC2025!AP175="","",AC2025!AP175)</f>
        <v/>
      </c>
      <c r="T176" s="227">
        <f>IF(AC2025!AT175="","",AC2025!AT175)</f>
        <v/>
      </c>
    </row>
    <row r="177">
      <c r="B177" s="226">
        <f>IF(AC2025!B176="","",AC2025!B176)</f>
        <v/>
      </c>
      <c r="C177" s="226">
        <f>IF(AC2025!E176="","",AC2025!E176)</f>
        <v/>
      </c>
      <c r="D177" s="227">
        <f>IF(AC2025!H176="","",AC2025!H176)</f>
        <v/>
      </c>
      <c r="E177" s="227">
        <f>IF(AC2025!K176="","",AC2025!K176)</f>
        <v/>
      </c>
      <c r="F177" s="227">
        <f>IF(AC2025!L176="","",AC2025!L176)</f>
        <v/>
      </c>
      <c r="G177" s="227">
        <f>IF(AC2025!P176="","",AC2025!P176)</f>
        <v/>
      </c>
      <c r="H177" s="227">
        <f>IF(AC2025!O176="","",AC2025!O176)</f>
        <v/>
      </c>
      <c r="I177" s="227">
        <f>IF(AC2025!U176="","",AC2025!U176)</f>
        <v/>
      </c>
      <c r="J177" s="227">
        <f>IF(AC2025!X176="","",AC2025!X176)</f>
        <v/>
      </c>
      <c r="K177" s="227">
        <f>IF(AC2025!Y176="","",AC2025!Y176)</f>
        <v/>
      </c>
      <c r="L177" s="227">
        <f>IF(AC2025!Z176="","",AC2025!Z176)</f>
        <v/>
      </c>
      <c r="M177" s="227">
        <f>IF(AC2025!AA176="","",AC2025!AA176)</f>
        <v/>
      </c>
      <c r="N177" s="227">
        <f>IF(AC2025!AD176="","",AC2025!AD176)</f>
        <v/>
      </c>
      <c r="O177" s="227">
        <f>IF(AC2025!AE176="","",AC2025!AE176)</f>
        <v/>
      </c>
      <c r="P177" s="227">
        <f>IF(AC2025!AF176="","",AC2025!AF176)</f>
        <v/>
      </c>
      <c r="Q177" s="226">
        <f>IF(AC2025!AI176="","",AC2025!AI176)</f>
        <v/>
      </c>
      <c r="R177" s="227">
        <f>IF(AC2025!AM176="","",AC2025!AM176)</f>
        <v/>
      </c>
      <c r="S177" s="226">
        <f>IF(AC2025!AP176="","",AC2025!AP176)</f>
        <v/>
      </c>
      <c r="T177" s="227">
        <f>IF(AC2025!AT176="","",AC2025!AT176)</f>
        <v/>
      </c>
    </row>
    <row r="178">
      <c r="B178" s="226">
        <f>IF(AC2025!B177="","",AC2025!B177)</f>
        <v/>
      </c>
      <c r="C178" s="226">
        <f>IF(AC2025!E177="","",AC2025!E177)</f>
        <v/>
      </c>
      <c r="D178" s="227">
        <f>IF(AC2025!H177="","",AC2025!H177)</f>
        <v/>
      </c>
      <c r="E178" s="227">
        <f>IF(AC2025!K177="","",AC2025!K177)</f>
        <v/>
      </c>
      <c r="F178" s="227">
        <f>IF(AC2025!L177="","",AC2025!L177)</f>
        <v/>
      </c>
      <c r="G178" s="227">
        <f>IF(AC2025!P177="","",AC2025!P177)</f>
        <v/>
      </c>
      <c r="H178" s="227">
        <f>IF(AC2025!O177="","",AC2025!O177)</f>
        <v/>
      </c>
      <c r="I178" s="227">
        <f>IF(AC2025!U177="","",AC2025!U177)</f>
        <v/>
      </c>
      <c r="J178" s="227">
        <f>IF(AC2025!X177="","",AC2025!X177)</f>
        <v/>
      </c>
      <c r="K178" s="227">
        <f>IF(AC2025!Y177="","",AC2025!Y177)</f>
        <v/>
      </c>
      <c r="L178" s="227">
        <f>IF(AC2025!Z177="","",AC2025!Z177)</f>
        <v/>
      </c>
      <c r="M178" s="227">
        <f>IF(AC2025!AA177="","",AC2025!AA177)</f>
        <v/>
      </c>
      <c r="N178" s="227">
        <f>IF(AC2025!AD177="","",AC2025!AD177)</f>
        <v/>
      </c>
      <c r="O178" s="227">
        <f>IF(AC2025!AE177="","",AC2025!AE177)</f>
        <v/>
      </c>
      <c r="P178" s="227">
        <f>IF(AC2025!AF177="","",AC2025!AF177)</f>
        <v/>
      </c>
      <c r="Q178" s="226">
        <f>IF(AC2025!AI177="","",AC2025!AI177)</f>
        <v/>
      </c>
      <c r="R178" s="227">
        <f>IF(AC2025!AM177="","",AC2025!AM177)</f>
        <v/>
      </c>
      <c r="S178" s="226">
        <f>IF(AC2025!AP177="","",AC2025!AP177)</f>
        <v/>
      </c>
      <c r="T178" s="227">
        <f>IF(AC2025!AT177="","",AC2025!AT177)</f>
        <v/>
      </c>
    </row>
    <row r="179">
      <c r="B179" s="226">
        <f>IF(AC2025!B178="","",AC2025!B178)</f>
        <v/>
      </c>
      <c r="C179" s="226">
        <f>IF(AC2025!E178="","",AC2025!E178)</f>
        <v/>
      </c>
      <c r="D179" s="227">
        <f>IF(AC2025!H178="","",AC2025!H178)</f>
        <v/>
      </c>
      <c r="E179" s="227">
        <f>IF(AC2025!K178="","",AC2025!K178)</f>
        <v/>
      </c>
      <c r="F179" s="227">
        <f>IF(AC2025!L178="","",AC2025!L178)</f>
        <v/>
      </c>
      <c r="G179" s="227">
        <f>IF(AC2025!P178="","",AC2025!P178)</f>
        <v/>
      </c>
      <c r="H179" s="227">
        <f>IF(AC2025!O178="","",AC2025!O178)</f>
        <v/>
      </c>
      <c r="I179" s="227">
        <f>IF(AC2025!U178="","",AC2025!U178)</f>
        <v/>
      </c>
      <c r="J179" s="227">
        <f>IF(AC2025!X178="","",AC2025!X178)</f>
        <v/>
      </c>
      <c r="K179" s="227">
        <f>IF(AC2025!Y178="","",AC2025!Y178)</f>
        <v/>
      </c>
      <c r="L179" s="227">
        <f>IF(AC2025!Z178="","",AC2025!Z178)</f>
        <v/>
      </c>
      <c r="M179" s="227">
        <f>IF(AC2025!AA178="","",AC2025!AA178)</f>
        <v/>
      </c>
      <c r="N179" s="227">
        <f>IF(AC2025!AD178="","",AC2025!AD178)</f>
        <v/>
      </c>
      <c r="O179" s="227">
        <f>IF(AC2025!AE178="","",AC2025!AE178)</f>
        <v/>
      </c>
      <c r="P179" s="227">
        <f>IF(AC2025!AF178="","",AC2025!AF178)</f>
        <v/>
      </c>
      <c r="Q179" s="226">
        <f>IF(AC2025!AI178="","",AC2025!AI178)</f>
        <v/>
      </c>
      <c r="R179" s="227">
        <f>IF(AC2025!AM178="","",AC2025!AM178)</f>
        <v/>
      </c>
      <c r="S179" s="226">
        <f>IF(AC2025!AP178="","",AC2025!AP178)</f>
        <v/>
      </c>
      <c r="T179" s="227">
        <f>IF(AC2025!AT178="","",AC2025!AT178)</f>
        <v/>
      </c>
    </row>
    <row r="180">
      <c r="B180" s="226">
        <f>IF(AC2025!B179="","",AC2025!B179)</f>
        <v/>
      </c>
      <c r="C180" s="226">
        <f>IF(AC2025!E179="","",AC2025!E179)</f>
        <v/>
      </c>
      <c r="D180" s="227">
        <f>IF(AC2025!H179="","",AC2025!H179)</f>
        <v/>
      </c>
      <c r="E180" s="227">
        <f>IF(AC2025!K179="","",AC2025!K179)</f>
        <v/>
      </c>
      <c r="F180" s="227">
        <f>IF(AC2025!L179="","",AC2025!L179)</f>
        <v/>
      </c>
      <c r="G180" s="227">
        <f>IF(AC2025!P179="","",AC2025!P179)</f>
        <v/>
      </c>
      <c r="H180" s="227">
        <f>IF(AC2025!O179="","",AC2025!O179)</f>
        <v/>
      </c>
      <c r="I180" s="227">
        <f>IF(AC2025!U179="","",AC2025!U179)</f>
        <v/>
      </c>
      <c r="J180" s="227">
        <f>IF(AC2025!X179="","",AC2025!X179)</f>
        <v/>
      </c>
      <c r="K180" s="227">
        <f>IF(AC2025!Y179="","",AC2025!Y179)</f>
        <v/>
      </c>
      <c r="L180" s="227">
        <f>IF(AC2025!Z179="","",AC2025!Z179)</f>
        <v/>
      </c>
      <c r="M180" s="227">
        <f>IF(AC2025!AA179="","",AC2025!AA179)</f>
        <v/>
      </c>
      <c r="N180" s="227">
        <f>IF(AC2025!AD179="","",AC2025!AD179)</f>
        <v/>
      </c>
      <c r="O180" s="227">
        <f>IF(AC2025!AE179="","",AC2025!AE179)</f>
        <v/>
      </c>
      <c r="P180" s="227">
        <f>IF(AC2025!AF179="","",AC2025!AF179)</f>
        <v/>
      </c>
      <c r="Q180" s="226">
        <f>IF(AC2025!AI179="","",AC2025!AI179)</f>
        <v/>
      </c>
      <c r="R180" s="227">
        <f>IF(AC2025!AM179="","",AC2025!AM179)</f>
        <v/>
      </c>
      <c r="S180" s="226">
        <f>IF(AC2025!AP179="","",AC2025!AP179)</f>
        <v/>
      </c>
      <c r="T180" s="227">
        <f>IF(AC2025!AT179="","",AC2025!AT179)</f>
        <v/>
      </c>
    </row>
    <row r="181">
      <c r="B181" s="226">
        <f>IF(AC2025!B180="","",AC2025!B180)</f>
        <v/>
      </c>
      <c r="C181" s="226">
        <f>IF(AC2025!E180="","",AC2025!E180)</f>
        <v/>
      </c>
      <c r="D181" s="227">
        <f>IF(AC2025!H180="","",AC2025!H180)</f>
        <v/>
      </c>
      <c r="E181" s="227">
        <f>IF(AC2025!K180="","",AC2025!K180)</f>
        <v/>
      </c>
      <c r="F181" s="227">
        <f>IF(AC2025!L180="","",AC2025!L180)</f>
        <v/>
      </c>
      <c r="G181" s="227">
        <f>IF(AC2025!P180="","",AC2025!P180)</f>
        <v/>
      </c>
      <c r="H181" s="227">
        <f>IF(AC2025!O180="","",AC2025!O180)</f>
        <v/>
      </c>
      <c r="I181" s="227">
        <f>IF(AC2025!U180="","",AC2025!U180)</f>
        <v/>
      </c>
      <c r="J181" s="227">
        <f>IF(AC2025!X180="","",AC2025!X180)</f>
        <v/>
      </c>
      <c r="K181" s="227">
        <f>IF(AC2025!Y180="","",AC2025!Y180)</f>
        <v/>
      </c>
      <c r="L181" s="227">
        <f>IF(AC2025!Z180="","",AC2025!Z180)</f>
        <v/>
      </c>
      <c r="M181" s="227">
        <f>IF(AC2025!AA180="","",AC2025!AA180)</f>
        <v/>
      </c>
      <c r="N181" s="227">
        <f>IF(AC2025!AD180="","",AC2025!AD180)</f>
        <v/>
      </c>
      <c r="O181" s="227">
        <f>IF(AC2025!AE180="","",AC2025!AE180)</f>
        <v/>
      </c>
      <c r="P181" s="227">
        <f>IF(AC2025!AF180="","",AC2025!AF180)</f>
        <v/>
      </c>
      <c r="Q181" s="226">
        <f>IF(AC2025!AI180="","",AC2025!AI180)</f>
        <v/>
      </c>
      <c r="R181" s="227">
        <f>IF(AC2025!AM180="","",AC2025!AM180)</f>
        <v/>
      </c>
      <c r="S181" s="226">
        <f>IF(AC2025!AP180="","",AC2025!AP180)</f>
        <v/>
      </c>
      <c r="T181" s="227">
        <f>IF(AC2025!AT180="","",AC2025!AT180)</f>
        <v/>
      </c>
    </row>
    <row r="182">
      <c r="B182" s="226">
        <f>IF(AC2025!B181="","",AC2025!B181)</f>
        <v/>
      </c>
      <c r="C182" s="226">
        <f>IF(AC2025!E181="","",AC2025!E181)</f>
        <v/>
      </c>
      <c r="D182" s="227">
        <f>IF(AC2025!H181="","",AC2025!H181)</f>
        <v/>
      </c>
      <c r="E182" s="227">
        <f>IF(AC2025!K181="","",AC2025!K181)</f>
        <v/>
      </c>
      <c r="F182" s="227">
        <f>IF(AC2025!L181="","",AC2025!L181)</f>
        <v/>
      </c>
      <c r="G182" s="227">
        <f>IF(AC2025!P181="","",AC2025!P181)</f>
        <v/>
      </c>
      <c r="H182" s="227">
        <f>IF(AC2025!O181="","",AC2025!O181)</f>
        <v/>
      </c>
      <c r="I182" s="227">
        <f>IF(AC2025!U181="","",AC2025!U181)</f>
        <v/>
      </c>
      <c r="J182" s="227">
        <f>IF(AC2025!X181="","",AC2025!X181)</f>
        <v/>
      </c>
      <c r="K182" s="227">
        <f>IF(AC2025!Y181="","",AC2025!Y181)</f>
        <v/>
      </c>
      <c r="L182" s="227">
        <f>IF(AC2025!Z181="","",AC2025!Z181)</f>
        <v/>
      </c>
      <c r="M182" s="227">
        <f>IF(AC2025!AA181="","",AC2025!AA181)</f>
        <v/>
      </c>
      <c r="N182" s="227">
        <f>IF(AC2025!AD181="","",AC2025!AD181)</f>
        <v/>
      </c>
      <c r="O182" s="227">
        <f>IF(AC2025!AE181="","",AC2025!AE181)</f>
        <v/>
      </c>
      <c r="P182" s="227">
        <f>IF(AC2025!AF181="","",AC2025!AF181)</f>
        <v/>
      </c>
      <c r="Q182" s="226">
        <f>IF(AC2025!AI181="","",AC2025!AI181)</f>
        <v/>
      </c>
      <c r="R182" s="227">
        <f>IF(AC2025!AM181="","",AC2025!AM181)</f>
        <v/>
      </c>
      <c r="S182" s="226">
        <f>IF(AC2025!AP181="","",AC2025!AP181)</f>
        <v/>
      </c>
      <c r="T182" s="227">
        <f>IF(AC2025!AT181="","",AC2025!AT181)</f>
        <v/>
      </c>
    </row>
    <row r="183">
      <c r="B183" s="226">
        <f>IF(AC2025!B182="","",AC2025!B182)</f>
        <v/>
      </c>
      <c r="C183" s="226">
        <f>IF(AC2025!E182="","",AC2025!E182)</f>
        <v/>
      </c>
      <c r="D183" s="227">
        <f>IF(AC2025!H182="","",AC2025!H182)</f>
        <v/>
      </c>
      <c r="E183" s="227">
        <f>IF(AC2025!K182="","",AC2025!K182)</f>
        <v/>
      </c>
      <c r="F183" s="227">
        <f>IF(AC2025!L182="","",AC2025!L182)</f>
        <v/>
      </c>
      <c r="G183" s="227">
        <f>IF(AC2025!P182="","",AC2025!P182)</f>
        <v/>
      </c>
      <c r="H183" s="227">
        <f>IF(AC2025!O182="","",AC2025!O182)</f>
        <v/>
      </c>
      <c r="I183" s="227">
        <f>IF(AC2025!U182="","",AC2025!U182)</f>
        <v/>
      </c>
      <c r="J183" s="227">
        <f>IF(AC2025!X182="","",AC2025!X182)</f>
        <v/>
      </c>
      <c r="K183" s="227">
        <f>IF(AC2025!Y182="","",AC2025!Y182)</f>
        <v/>
      </c>
      <c r="L183" s="227">
        <f>IF(AC2025!Z182="","",AC2025!Z182)</f>
        <v/>
      </c>
      <c r="M183" s="227">
        <f>IF(AC2025!AA182="","",AC2025!AA182)</f>
        <v/>
      </c>
      <c r="N183" s="227">
        <f>IF(AC2025!AD182="","",AC2025!AD182)</f>
        <v/>
      </c>
      <c r="O183" s="227">
        <f>IF(AC2025!AE182="","",AC2025!AE182)</f>
        <v/>
      </c>
      <c r="P183" s="227">
        <f>IF(AC2025!AF182="","",AC2025!AF182)</f>
        <v/>
      </c>
      <c r="Q183" s="226">
        <f>IF(AC2025!AI182="","",AC2025!AI182)</f>
        <v/>
      </c>
      <c r="R183" s="227">
        <f>IF(AC2025!AM182="","",AC2025!AM182)</f>
        <v/>
      </c>
      <c r="S183" s="226">
        <f>IF(AC2025!AP182="","",AC2025!AP182)</f>
        <v/>
      </c>
      <c r="T183" s="227">
        <f>IF(AC2025!AT182="","",AC2025!AT182)</f>
        <v/>
      </c>
    </row>
    <row r="184">
      <c r="B184" s="226">
        <f>IF(AC2025!B183="","",AC2025!B183)</f>
        <v/>
      </c>
      <c r="C184" s="226">
        <f>IF(AC2025!E183="","",AC2025!E183)</f>
        <v/>
      </c>
      <c r="D184" s="227">
        <f>IF(AC2025!H183="","",AC2025!H183)</f>
        <v/>
      </c>
      <c r="E184" s="227">
        <f>IF(AC2025!K183="","",AC2025!K183)</f>
        <v/>
      </c>
      <c r="F184" s="227">
        <f>IF(AC2025!L183="","",AC2025!L183)</f>
        <v/>
      </c>
      <c r="G184" s="227">
        <f>IF(AC2025!P183="","",AC2025!P183)</f>
        <v/>
      </c>
      <c r="H184" s="227">
        <f>IF(AC2025!O183="","",AC2025!O183)</f>
        <v/>
      </c>
      <c r="I184" s="227">
        <f>IF(AC2025!U183="","",AC2025!U183)</f>
        <v/>
      </c>
      <c r="J184" s="227">
        <f>IF(AC2025!X183="","",AC2025!X183)</f>
        <v/>
      </c>
      <c r="K184" s="227">
        <f>IF(AC2025!Y183="","",AC2025!Y183)</f>
        <v/>
      </c>
      <c r="L184" s="227">
        <f>IF(AC2025!Z183="","",AC2025!Z183)</f>
        <v/>
      </c>
      <c r="M184" s="227">
        <f>IF(AC2025!AA183="","",AC2025!AA183)</f>
        <v/>
      </c>
      <c r="N184" s="227">
        <f>IF(AC2025!AD183="","",AC2025!AD183)</f>
        <v/>
      </c>
      <c r="O184" s="227">
        <f>IF(AC2025!AE183="","",AC2025!AE183)</f>
        <v/>
      </c>
      <c r="P184" s="227">
        <f>IF(AC2025!AF183="","",AC2025!AF183)</f>
        <v/>
      </c>
      <c r="Q184" s="226">
        <f>IF(AC2025!AI183="","",AC2025!AI183)</f>
        <v/>
      </c>
      <c r="R184" s="227">
        <f>IF(AC2025!AM183="","",AC2025!AM183)</f>
        <v/>
      </c>
      <c r="S184" s="226">
        <f>IF(AC2025!AP183="","",AC2025!AP183)</f>
        <v/>
      </c>
      <c r="T184" s="227">
        <f>IF(AC2025!AT183="","",AC2025!AT183)</f>
        <v/>
      </c>
    </row>
    <row r="185">
      <c r="B185" s="226">
        <f>IF(AC2025!B184="","",AC2025!B184)</f>
        <v/>
      </c>
      <c r="C185" s="226">
        <f>IF(AC2025!E184="","",AC2025!E184)</f>
        <v/>
      </c>
      <c r="D185" s="227">
        <f>IF(AC2025!H184="","",AC2025!H184)</f>
        <v/>
      </c>
      <c r="E185" s="227">
        <f>IF(AC2025!K184="","",AC2025!K184)</f>
        <v/>
      </c>
      <c r="F185" s="227">
        <f>IF(AC2025!L184="","",AC2025!L184)</f>
        <v/>
      </c>
      <c r="G185" s="227">
        <f>IF(AC2025!P184="","",AC2025!P184)</f>
        <v/>
      </c>
      <c r="H185" s="227">
        <f>IF(AC2025!O184="","",AC2025!O184)</f>
        <v/>
      </c>
      <c r="I185" s="227">
        <f>IF(AC2025!U184="","",AC2025!U184)</f>
        <v/>
      </c>
      <c r="J185" s="227">
        <f>IF(AC2025!X184="","",AC2025!X184)</f>
        <v/>
      </c>
      <c r="K185" s="227">
        <f>IF(AC2025!Y184="","",AC2025!Y184)</f>
        <v/>
      </c>
      <c r="L185" s="227">
        <f>IF(AC2025!Z184="","",AC2025!Z184)</f>
        <v/>
      </c>
      <c r="M185" s="227">
        <f>IF(AC2025!AA184="","",AC2025!AA184)</f>
        <v/>
      </c>
      <c r="N185" s="227">
        <f>IF(AC2025!AD184="","",AC2025!AD184)</f>
        <v/>
      </c>
      <c r="O185" s="227">
        <f>IF(AC2025!AE184="","",AC2025!AE184)</f>
        <v/>
      </c>
      <c r="P185" s="227">
        <f>IF(AC2025!AF184="","",AC2025!AF184)</f>
        <v/>
      </c>
      <c r="Q185" s="226">
        <f>IF(AC2025!AI184="","",AC2025!AI184)</f>
        <v/>
      </c>
      <c r="R185" s="227">
        <f>IF(AC2025!AM184="","",AC2025!AM184)</f>
        <v/>
      </c>
      <c r="S185" s="226">
        <f>IF(AC2025!AP184="","",AC2025!AP184)</f>
        <v/>
      </c>
      <c r="T185" s="227">
        <f>IF(AC2025!AT184="","",AC2025!AT184)</f>
        <v/>
      </c>
    </row>
    <row r="186">
      <c r="B186" s="226">
        <f>IF(AC2025!B185="","",AC2025!B185)</f>
        <v/>
      </c>
      <c r="C186" s="226">
        <f>IF(AC2025!E185="","",AC2025!E185)</f>
        <v/>
      </c>
      <c r="D186" s="227">
        <f>IF(AC2025!H185="","",AC2025!H185)</f>
        <v/>
      </c>
      <c r="E186" s="227">
        <f>IF(AC2025!K185="","",AC2025!K185)</f>
        <v/>
      </c>
      <c r="F186" s="227">
        <f>IF(AC2025!L185="","",AC2025!L185)</f>
        <v/>
      </c>
      <c r="G186" s="227">
        <f>IF(AC2025!P185="","",AC2025!P185)</f>
        <v/>
      </c>
      <c r="H186" s="227">
        <f>IF(AC2025!O185="","",AC2025!O185)</f>
        <v/>
      </c>
      <c r="I186" s="227">
        <f>IF(AC2025!U185="","",AC2025!U185)</f>
        <v/>
      </c>
      <c r="J186" s="227">
        <f>IF(AC2025!X185="","",AC2025!X185)</f>
        <v/>
      </c>
      <c r="K186" s="227">
        <f>IF(AC2025!Y185="","",AC2025!Y185)</f>
        <v/>
      </c>
      <c r="L186" s="227">
        <f>IF(AC2025!Z185="","",AC2025!Z185)</f>
        <v/>
      </c>
      <c r="M186" s="227">
        <f>IF(AC2025!AA185="","",AC2025!AA185)</f>
        <v/>
      </c>
      <c r="N186" s="227">
        <f>IF(AC2025!AD185="","",AC2025!AD185)</f>
        <v/>
      </c>
      <c r="O186" s="227">
        <f>IF(AC2025!AE185="","",AC2025!AE185)</f>
        <v/>
      </c>
      <c r="P186" s="227">
        <f>IF(AC2025!AF185="","",AC2025!AF185)</f>
        <v/>
      </c>
      <c r="Q186" s="226">
        <f>IF(AC2025!AI185="","",AC2025!AI185)</f>
        <v/>
      </c>
      <c r="R186" s="227">
        <f>IF(AC2025!AM185="","",AC2025!AM185)</f>
        <v/>
      </c>
      <c r="S186" s="226">
        <f>IF(AC2025!AP185="","",AC2025!AP185)</f>
        <v/>
      </c>
      <c r="T186" s="227">
        <f>IF(AC2025!AT185="","",AC2025!AT185)</f>
        <v/>
      </c>
    </row>
    <row r="187">
      <c r="B187" s="226">
        <f>IF(AC2025!B186="","",AC2025!B186)</f>
        <v/>
      </c>
      <c r="C187" s="226">
        <f>IF(AC2025!E186="","",AC2025!E186)</f>
        <v/>
      </c>
      <c r="D187" s="227">
        <f>IF(AC2025!H186="","",AC2025!H186)</f>
        <v/>
      </c>
      <c r="E187" s="227">
        <f>IF(AC2025!K186="","",AC2025!K186)</f>
        <v/>
      </c>
      <c r="F187" s="227">
        <f>IF(AC2025!L186="","",AC2025!L186)</f>
        <v/>
      </c>
      <c r="G187" s="227">
        <f>IF(AC2025!P186="","",AC2025!P186)</f>
        <v/>
      </c>
      <c r="H187" s="227">
        <f>IF(AC2025!O186="","",AC2025!O186)</f>
        <v/>
      </c>
      <c r="I187" s="227">
        <f>IF(AC2025!U186="","",AC2025!U186)</f>
        <v/>
      </c>
      <c r="J187" s="227">
        <f>IF(AC2025!X186="","",AC2025!X186)</f>
        <v/>
      </c>
      <c r="K187" s="227">
        <f>IF(AC2025!Y186="","",AC2025!Y186)</f>
        <v/>
      </c>
      <c r="L187" s="227">
        <f>IF(AC2025!Z186="","",AC2025!Z186)</f>
        <v/>
      </c>
      <c r="M187" s="227">
        <f>IF(AC2025!AA186="","",AC2025!AA186)</f>
        <v/>
      </c>
      <c r="N187" s="227">
        <f>IF(AC2025!AD186="","",AC2025!AD186)</f>
        <v/>
      </c>
      <c r="O187" s="227">
        <f>IF(AC2025!AE186="","",AC2025!AE186)</f>
        <v/>
      </c>
      <c r="P187" s="227">
        <f>IF(AC2025!AF186="","",AC2025!AF186)</f>
        <v/>
      </c>
      <c r="Q187" s="226">
        <f>IF(AC2025!AI186="","",AC2025!AI186)</f>
        <v/>
      </c>
      <c r="R187" s="227">
        <f>IF(AC2025!AM186="","",AC2025!AM186)</f>
        <v/>
      </c>
      <c r="S187" s="226">
        <f>IF(AC2025!AP186="","",AC2025!AP186)</f>
        <v/>
      </c>
      <c r="T187" s="227">
        <f>IF(AC2025!AT186="","",AC2025!AT186)</f>
        <v/>
      </c>
    </row>
    <row r="188">
      <c r="B188" s="226">
        <f>IF(AC2025!B187="","",AC2025!B187)</f>
        <v/>
      </c>
      <c r="C188" s="226">
        <f>IF(AC2025!E187="","",AC2025!E187)</f>
        <v/>
      </c>
      <c r="D188" s="227">
        <f>IF(AC2025!H187="","",AC2025!H187)</f>
        <v/>
      </c>
      <c r="E188" s="227">
        <f>IF(AC2025!K187="","",AC2025!K187)</f>
        <v/>
      </c>
      <c r="F188" s="227">
        <f>IF(AC2025!L187="","",AC2025!L187)</f>
        <v/>
      </c>
      <c r="G188" s="227">
        <f>IF(AC2025!P187="","",AC2025!P187)</f>
        <v/>
      </c>
      <c r="H188" s="227">
        <f>IF(AC2025!O187="","",AC2025!O187)</f>
        <v/>
      </c>
      <c r="I188" s="227">
        <f>IF(AC2025!U187="","",AC2025!U187)</f>
        <v/>
      </c>
      <c r="J188" s="227">
        <f>IF(AC2025!X187="","",AC2025!X187)</f>
        <v/>
      </c>
      <c r="K188" s="227">
        <f>IF(AC2025!Y187="","",AC2025!Y187)</f>
        <v/>
      </c>
      <c r="L188" s="227">
        <f>IF(AC2025!Z187="","",AC2025!Z187)</f>
        <v/>
      </c>
      <c r="M188" s="227">
        <f>IF(AC2025!AA187="","",AC2025!AA187)</f>
        <v/>
      </c>
      <c r="N188" s="227">
        <f>IF(AC2025!AD187="","",AC2025!AD187)</f>
        <v/>
      </c>
      <c r="O188" s="227">
        <f>IF(AC2025!AE187="","",AC2025!AE187)</f>
        <v/>
      </c>
      <c r="P188" s="227">
        <f>IF(AC2025!AF187="","",AC2025!AF187)</f>
        <v/>
      </c>
      <c r="Q188" s="226">
        <f>IF(AC2025!AI187="","",AC2025!AI187)</f>
        <v/>
      </c>
      <c r="R188" s="227">
        <f>IF(AC2025!AM187="","",AC2025!AM187)</f>
        <v/>
      </c>
      <c r="S188" s="226">
        <f>IF(AC2025!AP187="","",AC2025!AP187)</f>
        <v/>
      </c>
      <c r="T188" s="227">
        <f>IF(AC2025!AT187="","",AC2025!AT187)</f>
        <v/>
      </c>
    </row>
    <row r="189">
      <c r="B189" s="226">
        <f>IF(AC2025!B188="","",AC2025!B188)</f>
        <v/>
      </c>
      <c r="C189" s="226">
        <f>IF(AC2025!E188="","",AC2025!E188)</f>
        <v/>
      </c>
      <c r="D189" s="227">
        <f>IF(AC2025!H188="","",AC2025!H188)</f>
        <v/>
      </c>
      <c r="E189" s="227">
        <f>IF(AC2025!K188="","",AC2025!K188)</f>
        <v/>
      </c>
      <c r="F189" s="227">
        <f>IF(AC2025!L188="","",AC2025!L188)</f>
        <v/>
      </c>
      <c r="G189" s="227">
        <f>IF(AC2025!P188="","",AC2025!P188)</f>
        <v/>
      </c>
      <c r="H189" s="227">
        <f>IF(AC2025!O188="","",AC2025!O188)</f>
        <v/>
      </c>
      <c r="I189" s="227">
        <f>IF(AC2025!U188="","",AC2025!U188)</f>
        <v/>
      </c>
      <c r="J189" s="227">
        <f>IF(AC2025!X188="","",AC2025!X188)</f>
        <v/>
      </c>
      <c r="K189" s="227">
        <f>IF(AC2025!Y188="","",AC2025!Y188)</f>
        <v/>
      </c>
      <c r="L189" s="227">
        <f>IF(AC2025!Z188="","",AC2025!Z188)</f>
        <v/>
      </c>
      <c r="M189" s="227">
        <f>IF(AC2025!AA188="","",AC2025!AA188)</f>
        <v/>
      </c>
      <c r="N189" s="227">
        <f>IF(AC2025!AD188="","",AC2025!AD188)</f>
        <v/>
      </c>
      <c r="O189" s="227">
        <f>IF(AC2025!AE188="","",AC2025!AE188)</f>
        <v/>
      </c>
      <c r="P189" s="227">
        <f>IF(AC2025!AF188="","",AC2025!AF188)</f>
        <v/>
      </c>
      <c r="Q189" s="226">
        <f>IF(AC2025!AI188="","",AC2025!AI188)</f>
        <v/>
      </c>
      <c r="R189" s="227">
        <f>IF(AC2025!AM188="","",AC2025!AM188)</f>
        <v/>
      </c>
      <c r="S189" s="226">
        <f>IF(AC2025!AP188="","",AC2025!AP188)</f>
        <v/>
      </c>
      <c r="T189" s="227">
        <f>IF(AC2025!AT188="","",AC2025!AT188)</f>
        <v/>
      </c>
    </row>
    <row r="190">
      <c r="B190" s="226">
        <f>IF(AC2025!B189="","",AC2025!B189)</f>
        <v/>
      </c>
      <c r="C190" s="226">
        <f>IF(AC2025!E189="","",AC2025!E189)</f>
        <v/>
      </c>
      <c r="D190" s="227">
        <f>IF(AC2025!H189="","",AC2025!H189)</f>
        <v/>
      </c>
      <c r="E190" s="227">
        <f>IF(AC2025!K189="","",AC2025!K189)</f>
        <v/>
      </c>
      <c r="F190" s="227">
        <f>IF(AC2025!L189="","",AC2025!L189)</f>
        <v/>
      </c>
      <c r="G190" s="227">
        <f>IF(AC2025!P189="","",AC2025!P189)</f>
        <v/>
      </c>
      <c r="H190" s="227">
        <f>IF(AC2025!O189="","",AC2025!O189)</f>
        <v/>
      </c>
      <c r="I190" s="227">
        <f>IF(AC2025!U189="","",AC2025!U189)</f>
        <v/>
      </c>
      <c r="J190" s="227">
        <f>IF(AC2025!X189="","",AC2025!X189)</f>
        <v/>
      </c>
      <c r="K190" s="227">
        <f>IF(AC2025!Y189="","",AC2025!Y189)</f>
        <v/>
      </c>
      <c r="L190" s="227">
        <f>IF(AC2025!Z189="","",AC2025!Z189)</f>
        <v/>
      </c>
      <c r="M190" s="227">
        <f>IF(AC2025!AA189="","",AC2025!AA189)</f>
        <v/>
      </c>
      <c r="N190" s="227">
        <f>IF(AC2025!AD189="","",AC2025!AD189)</f>
        <v/>
      </c>
      <c r="O190" s="227">
        <f>IF(AC2025!AE189="","",AC2025!AE189)</f>
        <v/>
      </c>
      <c r="P190" s="227">
        <f>IF(AC2025!AF189="","",AC2025!AF189)</f>
        <v/>
      </c>
      <c r="Q190" s="226">
        <f>IF(AC2025!AI189="","",AC2025!AI189)</f>
        <v/>
      </c>
      <c r="R190" s="227">
        <f>IF(AC2025!AM189="","",AC2025!AM189)</f>
        <v/>
      </c>
      <c r="S190" s="226">
        <f>IF(AC2025!AP189="","",AC2025!AP189)</f>
        <v/>
      </c>
      <c r="T190" s="227">
        <f>IF(AC2025!AT189="","",AC2025!AT189)</f>
        <v/>
      </c>
    </row>
    <row r="191">
      <c r="B191" s="226">
        <f>IF(AC2025!B190="","",AC2025!B190)</f>
        <v/>
      </c>
      <c r="C191" s="226">
        <f>IF(AC2025!E190="","",AC2025!E190)</f>
        <v/>
      </c>
      <c r="D191" s="227">
        <f>IF(AC2025!H190="","",AC2025!H190)</f>
        <v/>
      </c>
      <c r="E191" s="227">
        <f>IF(AC2025!K190="","",AC2025!K190)</f>
        <v/>
      </c>
      <c r="F191" s="227">
        <f>IF(AC2025!L190="","",AC2025!L190)</f>
        <v/>
      </c>
      <c r="G191" s="227">
        <f>IF(AC2025!P190="","",AC2025!P190)</f>
        <v/>
      </c>
      <c r="H191" s="227">
        <f>IF(AC2025!O190="","",AC2025!O190)</f>
        <v/>
      </c>
      <c r="I191" s="227">
        <f>IF(AC2025!U190="","",AC2025!U190)</f>
        <v/>
      </c>
      <c r="J191" s="227">
        <f>IF(AC2025!X190="","",AC2025!X190)</f>
        <v/>
      </c>
      <c r="K191" s="227">
        <f>IF(AC2025!Y190="","",AC2025!Y190)</f>
        <v/>
      </c>
      <c r="L191" s="227">
        <f>IF(AC2025!Z190="","",AC2025!Z190)</f>
        <v/>
      </c>
      <c r="M191" s="227">
        <f>IF(AC2025!AA190="","",AC2025!AA190)</f>
        <v/>
      </c>
      <c r="N191" s="227">
        <f>IF(AC2025!AD190="","",AC2025!AD190)</f>
        <v/>
      </c>
      <c r="O191" s="227">
        <f>IF(AC2025!AE190="","",AC2025!AE190)</f>
        <v/>
      </c>
      <c r="P191" s="227">
        <f>IF(AC2025!AF190="","",AC2025!AF190)</f>
        <v/>
      </c>
      <c r="Q191" s="226">
        <f>IF(AC2025!AI190="","",AC2025!AI190)</f>
        <v/>
      </c>
      <c r="R191" s="227">
        <f>IF(AC2025!AM190="","",AC2025!AM190)</f>
        <v/>
      </c>
      <c r="S191" s="226">
        <f>IF(AC2025!AP190="","",AC2025!AP190)</f>
        <v/>
      </c>
      <c r="T191" s="227">
        <f>IF(AC2025!AT190="","",AC2025!AT190)</f>
        <v/>
      </c>
    </row>
    <row r="192">
      <c r="B192" s="226">
        <f>IF(AC2025!B191="","",AC2025!B191)</f>
        <v/>
      </c>
      <c r="C192" s="226">
        <f>IF(AC2025!E191="","",AC2025!E191)</f>
        <v/>
      </c>
      <c r="D192" s="227">
        <f>IF(AC2025!H191="","",AC2025!H191)</f>
        <v/>
      </c>
      <c r="E192" s="227">
        <f>IF(AC2025!K191="","",AC2025!K191)</f>
        <v/>
      </c>
      <c r="F192" s="227">
        <f>IF(AC2025!L191="","",AC2025!L191)</f>
        <v/>
      </c>
      <c r="G192" s="227">
        <f>IF(AC2025!P191="","",AC2025!P191)</f>
        <v/>
      </c>
      <c r="H192" s="227">
        <f>IF(AC2025!O191="","",AC2025!O191)</f>
        <v/>
      </c>
      <c r="I192" s="227">
        <f>IF(AC2025!U191="","",AC2025!U191)</f>
        <v/>
      </c>
      <c r="J192" s="227">
        <f>IF(AC2025!X191="","",AC2025!X191)</f>
        <v/>
      </c>
      <c r="K192" s="227">
        <f>IF(AC2025!Y191="","",AC2025!Y191)</f>
        <v/>
      </c>
      <c r="L192" s="227">
        <f>IF(AC2025!Z191="","",AC2025!Z191)</f>
        <v/>
      </c>
      <c r="M192" s="227">
        <f>IF(AC2025!AA191="","",AC2025!AA191)</f>
        <v/>
      </c>
      <c r="N192" s="227">
        <f>IF(AC2025!AD191="","",AC2025!AD191)</f>
        <v/>
      </c>
      <c r="O192" s="227">
        <f>IF(AC2025!AE191="","",AC2025!AE191)</f>
        <v/>
      </c>
      <c r="P192" s="227">
        <f>IF(AC2025!AF191="","",AC2025!AF191)</f>
        <v/>
      </c>
      <c r="Q192" s="226">
        <f>IF(AC2025!AI191="","",AC2025!AI191)</f>
        <v/>
      </c>
      <c r="R192" s="227">
        <f>IF(AC2025!AM191="","",AC2025!AM191)</f>
        <v/>
      </c>
      <c r="S192" s="226">
        <f>IF(AC2025!AP191="","",AC2025!AP191)</f>
        <v/>
      </c>
      <c r="T192" s="227">
        <f>IF(AC2025!AT191="","",AC2025!AT191)</f>
        <v/>
      </c>
    </row>
    <row r="193">
      <c r="B193" s="226">
        <f>IF(AC2025!B192="","",AC2025!B192)</f>
        <v/>
      </c>
      <c r="C193" s="226">
        <f>IF(AC2025!E192="","",AC2025!E192)</f>
        <v/>
      </c>
      <c r="D193" s="227">
        <f>IF(AC2025!H192="","",AC2025!H192)</f>
        <v/>
      </c>
      <c r="E193" s="227">
        <f>IF(AC2025!K192="","",AC2025!K192)</f>
        <v/>
      </c>
      <c r="F193" s="227">
        <f>IF(AC2025!L192="","",AC2025!L192)</f>
        <v/>
      </c>
      <c r="G193" s="227">
        <f>IF(AC2025!P192="","",AC2025!P192)</f>
        <v/>
      </c>
      <c r="H193" s="227">
        <f>IF(AC2025!O192="","",AC2025!O192)</f>
        <v/>
      </c>
      <c r="I193" s="227">
        <f>IF(AC2025!U192="","",AC2025!U192)</f>
        <v/>
      </c>
      <c r="J193" s="227">
        <f>IF(AC2025!X192="","",AC2025!X192)</f>
        <v/>
      </c>
      <c r="K193" s="227">
        <f>IF(AC2025!Y192="","",AC2025!Y192)</f>
        <v/>
      </c>
      <c r="L193" s="227">
        <f>IF(AC2025!Z192="","",AC2025!Z192)</f>
        <v/>
      </c>
      <c r="M193" s="227">
        <f>IF(AC2025!AA192="","",AC2025!AA192)</f>
        <v/>
      </c>
      <c r="N193" s="227">
        <f>IF(AC2025!AD192="","",AC2025!AD192)</f>
        <v/>
      </c>
      <c r="O193" s="227">
        <f>IF(AC2025!AE192="","",AC2025!AE192)</f>
        <v/>
      </c>
      <c r="P193" s="227">
        <f>IF(AC2025!AF192="","",AC2025!AF192)</f>
        <v/>
      </c>
      <c r="Q193" s="226">
        <f>IF(AC2025!AI192="","",AC2025!AI192)</f>
        <v/>
      </c>
      <c r="R193" s="227">
        <f>IF(AC2025!AM192="","",AC2025!AM192)</f>
        <v/>
      </c>
      <c r="S193" s="226">
        <f>IF(AC2025!AP192="","",AC2025!AP192)</f>
        <v/>
      </c>
      <c r="T193" s="227">
        <f>IF(AC2025!AT192="","",AC2025!AT192)</f>
        <v/>
      </c>
    </row>
    <row r="194">
      <c r="B194" s="226">
        <f>IF(AC2025!B193="","",AC2025!B193)</f>
        <v/>
      </c>
      <c r="C194" s="226">
        <f>IF(AC2025!E193="","",AC2025!E193)</f>
        <v/>
      </c>
      <c r="D194" s="227">
        <f>IF(AC2025!H193="","",AC2025!H193)</f>
        <v/>
      </c>
      <c r="E194" s="227">
        <f>IF(AC2025!K193="","",AC2025!K193)</f>
        <v/>
      </c>
      <c r="F194" s="227">
        <f>IF(AC2025!L193="","",AC2025!L193)</f>
        <v/>
      </c>
      <c r="G194" s="227">
        <f>IF(AC2025!P193="","",AC2025!P193)</f>
        <v/>
      </c>
      <c r="H194" s="227">
        <f>IF(AC2025!O193="","",AC2025!O193)</f>
        <v/>
      </c>
      <c r="I194" s="227">
        <f>IF(AC2025!U193="","",AC2025!U193)</f>
        <v/>
      </c>
      <c r="J194" s="227">
        <f>IF(AC2025!X193="","",AC2025!X193)</f>
        <v/>
      </c>
      <c r="K194" s="227">
        <f>IF(AC2025!Y193="","",AC2025!Y193)</f>
        <v/>
      </c>
      <c r="L194" s="227">
        <f>IF(AC2025!Z193="","",AC2025!Z193)</f>
        <v/>
      </c>
      <c r="M194" s="227">
        <f>IF(AC2025!AA193="","",AC2025!AA193)</f>
        <v/>
      </c>
      <c r="N194" s="227">
        <f>IF(AC2025!AD193="","",AC2025!AD193)</f>
        <v/>
      </c>
      <c r="O194" s="227">
        <f>IF(AC2025!AE193="","",AC2025!AE193)</f>
        <v/>
      </c>
      <c r="P194" s="227">
        <f>IF(AC2025!AF193="","",AC2025!AF193)</f>
        <v/>
      </c>
      <c r="Q194" s="226">
        <f>IF(AC2025!AI193="","",AC2025!AI193)</f>
        <v/>
      </c>
      <c r="R194" s="227">
        <f>IF(AC2025!AM193="","",AC2025!AM193)</f>
        <v/>
      </c>
      <c r="S194" s="226">
        <f>IF(AC2025!AP193="","",AC2025!AP193)</f>
        <v/>
      </c>
      <c r="T194" s="227">
        <f>IF(AC2025!AT193="","",AC2025!AT193)</f>
        <v/>
      </c>
    </row>
    <row r="195">
      <c r="B195" s="226">
        <f>IF(AC2025!B194="","",AC2025!B194)</f>
        <v/>
      </c>
      <c r="C195" s="226">
        <f>IF(AC2025!E194="","",AC2025!E194)</f>
        <v/>
      </c>
      <c r="D195" s="227">
        <f>IF(AC2025!H194="","",AC2025!H194)</f>
        <v/>
      </c>
      <c r="E195" s="227">
        <f>IF(AC2025!K194="","",AC2025!K194)</f>
        <v/>
      </c>
      <c r="F195" s="227">
        <f>IF(AC2025!L194="","",AC2025!L194)</f>
        <v/>
      </c>
      <c r="G195" s="227">
        <f>IF(AC2025!P194="","",AC2025!P194)</f>
        <v/>
      </c>
      <c r="H195" s="227">
        <f>IF(AC2025!O194="","",AC2025!O194)</f>
        <v/>
      </c>
      <c r="I195" s="227">
        <f>IF(AC2025!U194="","",AC2025!U194)</f>
        <v/>
      </c>
      <c r="J195" s="227">
        <f>IF(AC2025!X194="","",AC2025!X194)</f>
        <v/>
      </c>
      <c r="K195" s="227">
        <f>IF(AC2025!Y194="","",AC2025!Y194)</f>
        <v/>
      </c>
      <c r="L195" s="227">
        <f>IF(AC2025!Z194="","",AC2025!Z194)</f>
        <v/>
      </c>
      <c r="M195" s="227">
        <f>IF(AC2025!AA194="","",AC2025!AA194)</f>
        <v/>
      </c>
      <c r="N195" s="227">
        <f>IF(AC2025!AD194="","",AC2025!AD194)</f>
        <v/>
      </c>
      <c r="O195" s="227">
        <f>IF(AC2025!AE194="","",AC2025!AE194)</f>
        <v/>
      </c>
      <c r="P195" s="227">
        <f>IF(AC2025!AF194="","",AC2025!AF194)</f>
        <v/>
      </c>
      <c r="Q195" s="226">
        <f>IF(AC2025!AI194="","",AC2025!AI194)</f>
        <v/>
      </c>
      <c r="R195" s="227">
        <f>IF(AC2025!AM194="","",AC2025!AM194)</f>
        <v/>
      </c>
      <c r="S195" s="226">
        <f>IF(AC2025!AP194="","",AC2025!AP194)</f>
        <v/>
      </c>
      <c r="T195" s="227">
        <f>IF(AC2025!AT194="","",AC2025!AT194)</f>
        <v/>
      </c>
    </row>
    <row r="196">
      <c r="B196" s="226">
        <f>IF(AC2025!B195="","",AC2025!B195)</f>
        <v/>
      </c>
      <c r="C196" s="226">
        <f>IF(AC2025!E195="","",AC2025!E195)</f>
        <v/>
      </c>
      <c r="D196" s="227">
        <f>IF(AC2025!H195="","",AC2025!H195)</f>
        <v/>
      </c>
      <c r="E196" s="227">
        <f>IF(AC2025!K195="","",AC2025!K195)</f>
        <v/>
      </c>
      <c r="F196" s="227">
        <f>IF(AC2025!L195="","",AC2025!L195)</f>
        <v/>
      </c>
      <c r="G196" s="227">
        <f>IF(AC2025!P195="","",AC2025!P195)</f>
        <v/>
      </c>
      <c r="H196" s="227">
        <f>IF(AC2025!O195="","",AC2025!O195)</f>
        <v/>
      </c>
      <c r="I196" s="227">
        <f>IF(AC2025!U195="","",AC2025!U195)</f>
        <v/>
      </c>
      <c r="J196" s="227">
        <f>IF(AC2025!X195="","",AC2025!X195)</f>
        <v/>
      </c>
      <c r="K196" s="227">
        <f>IF(AC2025!Y195="","",AC2025!Y195)</f>
        <v/>
      </c>
      <c r="L196" s="227">
        <f>IF(AC2025!Z195="","",AC2025!Z195)</f>
        <v/>
      </c>
      <c r="M196" s="227">
        <f>IF(AC2025!AA195="","",AC2025!AA195)</f>
        <v/>
      </c>
      <c r="N196" s="227">
        <f>IF(AC2025!AD195="","",AC2025!AD195)</f>
        <v/>
      </c>
      <c r="O196" s="227">
        <f>IF(AC2025!AE195="","",AC2025!AE195)</f>
        <v/>
      </c>
      <c r="P196" s="227">
        <f>IF(AC2025!AF195="","",AC2025!AF195)</f>
        <v/>
      </c>
      <c r="Q196" s="226">
        <f>IF(AC2025!AI195="","",AC2025!AI195)</f>
        <v/>
      </c>
      <c r="R196" s="227">
        <f>IF(AC2025!AM195="","",AC2025!AM195)</f>
        <v/>
      </c>
      <c r="S196" s="226">
        <f>IF(AC2025!AP195="","",AC2025!AP195)</f>
        <v/>
      </c>
      <c r="T196" s="227">
        <f>IF(AC2025!AT195="","",AC2025!AT195)</f>
        <v/>
      </c>
    </row>
    <row r="197">
      <c r="B197" s="226">
        <f>IF(AC2025!B196="","",AC2025!B196)</f>
        <v/>
      </c>
      <c r="C197" s="226">
        <f>IF(AC2025!E196="","",AC2025!E196)</f>
        <v/>
      </c>
      <c r="D197" s="227">
        <f>IF(AC2025!H196="","",AC2025!H196)</f>
        <v/>
      </c>
      <c r="E197" s="227">
        <f>IF(AC2025!K196="","",AC2025!K196)</f>
        <v/>
      </c>
      <c r="F197" s="227">
        <f>IF(AC2025!L196="","",AC2025!L196)</f>
        <v/>
      </c>
      <c r="G197" s="227">
        <f>IF(AC2025!P196="","",AC2025!P196)</f>
        <v/>
      </c>
      <c r="H197" s="227">
        <f>IF(AC2025!O196="","",AC2025!O196)</f>
        <v/>
      </c>
      <c r="I197" s="227">
        <f>IF(AC2025!U196="","",AC2025!U196)</f>
        <v/>
      </c>
      <c r="J197" s="227">
        <f>IF(AC2025!X196="","",AC2025!X196)</f>
        <v/>
      </c>
      <c r="K197" s="227">
        <f>IF(AC2025!Y196="","",AC2025!Y196)</f>
        <v/>
      </c>
      <c r="L197" s="227">
        <f>IF(AC2025!Z196="","",AC2025!Z196)</f>
        <v/>
      </c>
      <c r="M197" s="227">
        <f>IF(AC2025!AA196="","",AC2025!AA196)</f>
        <v/>
      </c>
      <c r="N197" s="227">
        <f>IF(AC2025!AD196="","",AC2025!AD196)</f>
        <v/>
      </c>
      <c r="O197" s="227">
        <f>IF(AC2025!AE196="","",AC2025!AE196)</f>
        <v/>
      </c>
      <c r="P197" s="227">
        <f>IF(AC2025!AF196="","",AC2025!AF196)</f>
        <v/>
      </c>
      <c r="Q197" s="226">
        <f>IF(AC2025!AI196="","",AC2025!AI196)</f>
        <v/>
      </c>
      <c r="R197" s="227">
        <f>IF(AC2025!AM196="","",AC2025!AM196)</f>
        <v/>
      </c>
      <c r="S197" s="226">
        <f>IF(AC2025!AP196="","",AC2025!AP196)</f>
        <v/>
      </c>
      <c r="T197" s="227">
        <f>IF(AC2025!AT196="","",AC2025!AT196)</f>
        <v/>
      </c>
    </row>
    <row r="198">
      <c r="B198" s="226">
        <f>IF(AC2025!B197="","",AC2025!B197)</f>
        <v/>
      </c>
      <c r="C198" s="226">
        <f>IF(AC2025!E197="","",AC2025!E197)</f>
        <v/>
      </c>
      <c r="D198" s="227">
        <f>IF(AC2025!H197="","",AC2025!H197)</f>
        <v/>
      </c>
      <c r="E198" s="227">
        <f>IF(AC2025!K197="","",AC2025!K197)</f>
        <v/>
      </c>
      <c r="F198" s="227">
        <f>IF(AC2025!L197="","",AC2025!L197)</f>
        <v/>
      </c>
      <c r="G198" s="227">
        <f>IF(AC2025!P197="","",AC2025!P197)</f>
        <v/>
      </c>
      <c r="H198" s="227">
        <f>IF(AC2025!O197="","",AC2025!O197)</f>
        <v/>
      </c>
      <c r="I198" s="227">
        <f>IF(AC2025!U197="","",AC2025!U197)</f>
        <v/>
      </c>
      <c r="J198" s="227">
        <f>IF(AC2025!X197="","",AC2025!X197)</f>
        <v/>
      </c>
      <c r="K198" s="227">
        <f>IF(AC2025!Y197="","",AC2025!Y197)</f>
        <v/>
      </c>
      <c r="L198" s="227">
        <f>IF(AC2025!Z197="","",AC2025!Z197)</f>
        <v/>
      </c>
      <c r="M198" s="227">
        <f>IF(AC2025!AA197="","",AC2025!AA197)</f>
        <v/>
      </c>
      <c r="N198" s="227">
        <f>IF(AC2025!AD197="","",AC2025!AD197)</f>
        <v/>
      </c>
      <c r="O198" s="227">
        <f>IF(AC2025!AE197="","",AC2025!AE197)</f>
        <v/>
      </c>
      <c r="P198" s="227">
        <f>IF(AC2025!AF197="","",AC2025!AF197)</f>
        <v/>
      </c>
      <c r="Q198" s="226">
        <f>IF(AC2025!AI197="","",AC2025!AI197)</f>
        <v/>
      </c>
      <c r="R198" s="227">
        <f>IF(AC2025!AM197="","",AC2025!AM197)</f>
        <v/>
      </c>
      <c r="S198" s="226">
        <f>IF(AC2025!AP197="","",AC2025!AP197)</f>
        <v/>
      </c>
      <c r="T198" s="227">
        <f>IF(AC2025!AT197="","",AC2025!AT197)</f>
        <v/>
      </c>
    </row>
    <row r="199">
      <c r="B199" s="226">
        <f>IF(AC2025!B198="","",AC2025!B198)</f>
        <v/>
      </c>
      <c r="C199" s="226">
        <f>IF(AC2025!E198="","",AC2025!E198)</f>
        <v/>
      </c>
      <c r="D199" s="227">
        <f>IF(AC2025!H198="","",AC2025!H198)</f>
        <v/>
      </c>
      <c r="E199" s="227">
        <f>IF(AC2025!K198="","",AC2025!K198)</f>
        <v/>
      </c>
      <c r="F199" s="227">
        <f>IF(AC2025!L198="","",AC2025!L198)</f>
        <v/>
      </c>
      <c r="G199" s="227">
        <f>IF(AC2025!P198="","",AC2025!P198)</f>
        <v/>
      </c>
      <c r="H199" s="227">
        <f>IF(AC2025!O198="","",AC2025!O198)</f>
        <v/>
      </c>
      <c r="I199" s="227">
        <f>IF(AC2025!U198="","",AC2025!U198)</f>
        <v/>
      </c>
      <c r="J199" s="227">
        <f>IF(AC2025!X198="","",AC2025!X198)</f>
        <v/>
      </c>
      <c r="K199" s="227">
        <f>IF(AC2025!Y198="","",AC2025!Y198)</f>
        <v/>
      </c>
      <c r="L199" s="227">
        <f>IF(AC2025!Z198="","",AC2025!Z198)</f>
        <v/>
      </c>
      <c r="M199" s="227">
        <f>IF(AC2025!AA198="","",AC2025!AA198)</f>
        <v/>
      </c>
      <c r="N199" s="227">
        <f>IF(AC2025!AD198="","",AC2025!AD198)</f>
        <v/>
      </c>
      <c r="O199" s="227">
        <f>IF(AC2025!AE198="","",AC2025!AE198)</f>
        <v/>
      </c>
      <c r="P199" s="227">
        <f>IF(AC2025!AF198="","",AC2025!AF198)</f>
        <v/>
      </c>
      <c r="Q199" s="226">
        <f>IF(AC2025!AI198="","",AC2025!AI198)</f>
        <v/>
      </c>
      <c r="R199" s="227">
        <f>IF(AC2025!AM198="","",AC2025!AM198)</f>
        <v/>
      </c>
      <c r="S199" s="226">
        <f>IF(AC2025!AP198="","",AC2025!AP198)</f>
        <v/>
      </c>
      <c r="T199" s="227">
        <f>IF(AC2025!AT198="","",AC2025!AT198)</f>
        <v/>
      </c>
    </row>
    <row r="200">
      <c r="B200" s="226">
        <f>IF(AC2025!B199="","",AC2025!B199)</f>
        <v/>
      </c>
      <c r="C200" s="226">
        <f>IF(AC2025!E199="","",AC2025!E199)</f>
        <v/>
      </c>
      <c r="D200" s="227">
        <f>IF(AC2025!H199="","",AC2025!H199)</f>
        <v/>
      </c>
      <c r="E200" s="227">
        <f>IF(AC2025!K199="","",AC2025!K199)</f>
        <v/>
      </c>
      <c r="F200" s="227">
        <f>IF(AC2025!L199="","",AC2025!L199)</f>
        <v/>
      </c>
      <c r="G200" s="227">
        <f>IF(AC2025!P199="","",AC2025!P199)</f>
        <v/>
      </c>
      <c r="H200" s="227">
        <f>IF(AC2025!O199="","",AC2025!O199)</f>
        <v/>
      </c>
      <c r="I200" s="227">
        <f>IF(AC2025!U199="","",AC2025!U199)</f>
        <v/>
      </c>
      <c r="J200" s="227">
        <f>IF(AC2025!X199="","",AC2025!X199)</f>
        <v/>
      </c>
      <c r="K200" s="227">
        <f>IF(AC2025!Y199="","",AC2025!Y199)</f>
        <v/>
      </c>
      <c r="L200" s="227">
        <f>IF(AC2025!Z199="","",AC2025!Z199)</f>
        <v/>
      </c>
      <c r="M200" s="227">
        <f>IF(AC2025!AA199="","",AC2025!AA199)</f>
        <v/>
      </c>
      <c r="N200" s="227">
        <f>IF(AC2025!AD199="","",AC2025!AD199)</f>
        <v/>
      </c>
      <c r="O200" s="227">
        <f>IF(AC2025!AE199="","",AC2025!AE199)</f>
        <v/>
      </c>
      <c r="P200" s="227">
        <f>IF(AC2025!AF199="","",AC2025!AF199)</f>
        <v/>
      </c>
      <c r="Q200" s="226">
        <f>IF(AC2025!AI199="","",AC2025!AI199)</f>
        <v/>
      </c>
      <c r="R200" s="227">
        <f>IF(AC2025!AM199="","",AC2025!AM199)</f>
        <v/>
      </c>
      <c r="S200" s="226">
        <f>IF(AC2025!AP199="","",AC2025!AP199)</f>
        <v/>
      </c>
      <c r="T200" s="227">
        <f>IF(AC2025!AT199="","",AC2025!AT199)</f>
        <v/>
      </c>
    </row>
    <row r="201">
      <c r="B201" s="226">
        <f>IF(AC2025!B200="","",AC2025!B200)</f>
        <v/>
      </c>
      <c r="C201" s="226">
        <f>IF(AC2025!E200="","",AC2025!E200)</f>
        <v/>
      </c>
      <c r="D201" s="227">
        <f>IF(AC2025!H200="","",AC2025!H200)</f>
        <v/>
      </c>
      <c r="E201" s="227">
        <f>IF(AC2025!K200="","",AC2025!K200)</f>
        <v/>
      </c>
      <c r="F201" s="227">
        <f>IF(AC2025!L200="","",AC2025!L200)</f>
        <v/>
      </c>
      <c r="G201" s="227">
        <f>IF(AC2025!P200="","",AC2025!P200)</f>
        <v/>
      </c>
      <c r="H201" s="227">
        <f>IF(AC2025!O200="","",AC2025!O200)</f>
        <v/>
      </c>
      <c r="I201" s="227">
        <f>IF(AC2025!U200="","",AC2025!U200)</f>
        <v/>
      </c>
      <c r="J201" s="227">
        <f>IF(AC2025!X200="","",AC2025!X200)</f>
        <v/>
      </c>
      <c r="K201" s="227">
        <f>IF(AC2025!Y200="","",AC2025!Y200)</f>
        <v/>
      </c>
      <c r="L201" s="227">
        <f>IF(AC2025!Z200="","",AC2025!Z200)</f>
        <v/>
      </c>
      <c r="M201" s="227">
        <f>IF(AC2025!AA200="","",AC2025!AA200)</f>
        <v/>
      </c>
      <c r="N201" s="227">
        <f>IF(AC2025!AD200="","",AC2025!AD200)</f>
        <v/>
      </c>
      <c r="O201" s="227">
        <f>IF(AC2025!AE200="","",AC2025!AE200)</f>
        <v/>
      </c>
      <c r="P201" s="227">
        <f>IF(AC2025!AF200="","",AC2025!AF200)</f>
        <v/>
      </c>
      <c r="Q201" s="226">
        <f>IF(AC2025!AI200="","",AC2025!AI200)</f>
        <v/>
      </c>
      <c r="R201" s="227">
        <f>IF(AC2025!AM200="","",AC2025!AM200)</f>
        <v/>
      </c>
      <c r="S201" s="226">
        <f>IF(AC2025!AP200="","",AC2025!AP200)</f>
        <v/>
      </c>
      <c r="T201" s="227">
        <f>IF(AC2025!AT200="","",AC2025!AT200)</f>
        <v/>
      </c>
    </row>
    <row r="202">
      <c r="B202" s="226">
        <f>IF(AC2025!B201="","",AC2025!B201)</f>
        <v/>
      </c>
      <c r="C202" s="226">
        <f>IF(AC2025!E201="","",AC2025!E201)</f>
        <v/>
      </c>
      <c r="D202" s="227">
        <f>IF(AC2025!H201="","",AC2025!H201)</f>
        <v/>
      </c>
      <c r="E202" s="227">
        <f>IF(AC2025!K201="","",AC2025!K201)</f>
        <v/>
      </c>
      <c r="F202" s="227">
        <f>IF(AC2025!L201="","",AC2025!L201)</f>
        <v/>
      </c>
      <c r="G202" s="227">
        <f>IF(AC2025!P201="","",AC2025!P201)</f>
        <v/>
      </c>
      <c r="H202" s="227">
        <f>IF(AC2025!O201="","",AC2025!O201)</f>
        <v/>
      </c>
      <c r="I202" s="227">
        <f>IF(AC2025!U201="","",AC2025!U201)</f>
        <v/>
      </c>
      <c r="J202" s="227">
        <f>IF(AC2025!X201="","",AC2025!X201)</f>
        <v/>
      </c>
      <c r="K202" s="227">
        <f>IF(AC2025!Y201="","",AC2025!Y201)</f>
        <v/>
      </c>
      <c r="L202" s="227">
        <f>IF(AC2025!Z201="","",AC2025!Z201)</f>
        <v/>
      </c>
      <c r="M202" s="227">
        <f>IF(AC2025!AA201="","",AC2025!AA201)</f>
        <v/>
      </c>
      <c r="N202" s="227">
        <f>IF(AC2025!AD201="","",AC2025!AD201)</f>
        <v/>
      </c>
      <c r="O202" s="227">
        <f>IF(AC2025!AE201="","",AC2025!AE201)</f>
        <v/>
      </c>
      <c r="P202" s="227">
        <f>IF(AC2025!AF201="","",AC2025!AF201)</f>
        <v/>
      </c>
      <c r="Q202" s="226">
        <f>IF(AC2025!AI201="","",AC2025!AI201)</f>
        <v/>
      </c>
      <c r="R202" s="227">
        <f>IF(AC2025!AM201="","",AC2025!AM201)</f>
        <v/>
      </c>
      <c r="S202" s="226">
        <f>IF(AC2025!AP201="","",AC2025!AP201)</f>
        <v/>
      </c>
      <c r="T202" s="227">
        <f>IF(AC2025!AT201="","",AC2025!AT201)</f>
        <v/>
      </c>
    </row>
    <row r="203">
      <c r="B203" s="226">
        <f>IF(AC2025!B202="","",AC2025!B202)</f>
        <v/>
      </c>
      <c r="C203" s="226">
        <f>IF(AC2025!E202="","",AC2025!E202)</f>
        <v/>
      </c>
      <c r="D203" s="227">
        <f>IF(AC2025!H202="","",AC2025!H202)</f>
        <v/>
      </c>
      <c r="E203" s="227">
        <f>IF(AC2025!K202="","",AC2025!K202)</f>
        <v/>
      </c>
      <c r="F203" s="227">
        <f>IF(AC2025!L202="","",AC2025!L202)</f>
        <v/>
      </c>
      <c r="G203" s="227">
        <f>IF(AC2025!P202="","",AC2025!P202)</f>
        <v/>
      </c>
      <c r="H203" s="227">
        <f>IF(AC2025!O202="","",AC2025!O202)</f>
        <v/>
      </c>
      <c r="I203" s="227">
        <f>IF(AC2025!U202="","",AC2025!U202)</f>
        <v/>
      </c>
      <c r="J203" s="227">
        <f>IF(AC2025!X202="","",AC2025!X202)</f>
        <v/>
      </c>
      <c r="K203" s="227">
        <f>IF(AC2025!Y202="","",AC2025!Y202)</f>
        <v/>
      </c>
      <c r="L203" s="227">
        <f>IF(AC2025!Z202="","",AC2025!Z202)</f>
        <v/>
      </c>
      <c r="M203" s="227">
        <f>IF(AC2025!AA202="","",AC2025!AA202)</f>
        <v/>
      </c>
      <c r="N203" s="227">
        <f>IF(AC2025!AD202="","",AC2025!AD202)</f>
        <v/>
      </c>
      <c r="O203" s="227">
        <f>IF(AC2025!AE202="","",AC2025!AE202)</f>
        <v/>
      </c>
      <c r="P203" s="227">
        <f>IF(AC2025!AF202="","",AC2025!AF202)</f>
        <v/>
      </c>
      <c r="Q203" s="226">
        <f>IF(AC2025!AI202="","",AC2025!AI202)</f>
        <v/>
      </c>
      <c r="R203" s="227">
        <f>IF(AC2025!AM202="","",AC2025!AM202)</f>
        <v/>
      </c>
      <c r="S203" s="226">
        <f>IF(AC2025!AP202="","",AC2025!AP202)</f>
        <v/>
      </c>
      <c r="T203" s="227">
        <f>IF(AC2025!AT202="","",AC2025!AT202)</f>
        <v/>
      </c>
    </row>
    <row r="204">
      <c r="B204" s="226">
        <f>IF(AC2025!B203="","",AC2025!B203)</f>
        <v/>
      </c>
      <c r="C204" s="226">
        <f>IF(AC2025!E203="","",AC2025!E203)</f>
        <v/>
      </c>
      <c r="D204" s="227">
        <f>IF(AC2025!H203="","",AC2025!H203)</f>
        <v/>
      </c>
      <c r="E204" s="227">
        <f>IF(AC2025!K203="","",AC2025!K203)</f>
        <v/>
      </c>
      <c r="F204" s="227">
        <f>IF(AC2025!L203="","",AC2025!L203)</f>
        <v/>
      </c>
      <c r="G204" s="227">
        <f>IF(AC2025!P203="","",AC2025!P203)</f>
        <v/>
      </c>
      <c r="H204" s="227">
        <f>IF(AC2025!O203="","",AC2025!O203)</f>
        <v/>
      </c>
      <c r="I204" s="227">
        <f>IF(AC2025!U203="","",AC2025!U203)</f>
        <v/>
      </c>
      <c r="J204" s="227">
        <f>IF(AC2025!X203="","",AC2025!X203)</f>
        <v/>
      </c>
      <c r="K204" s="227">
        <f>IF(AC2025!Y203="","",AC2025!Y203)</f>
        <v/>
      </c>
      <c r="L204" s="227">
        <f>IF(AC2025!Z203="","",AC2025!Z203)</f>
        <v/>
      </c>
      <c r="M204" s="227">
        <f>IF(AC2025!AA203="","",AC2025!AA203)</f>
        <v/>
      </c>
      <c r="N204" s="227">
        <f>IF(AC2025!AD203="","",AC2025!AD203)</f>
        <v/>
      </c>
      <c r="O204" s="227">
        <f>IF(AC2025!AE203="","",AC2025!AE203)</f>
        <v/>
      </c>
      <c r="P204" s="227">
        <f>IF(AC2025!AF203="","",AC2025!AF203)</f>
        <v/>
      </c>
      <c r="Q204" s="226">
        <f>IF(AC2025!AI203="","",AC2025!AI203)</f>
        <v/>
      </c>
      <c r="R204" s="227">
        <f>IF(AC2025!AM203="","",AC2025!AM203)</f>
        <v/>
      </c>
      <c r="S204" s="226">
        <f>IF(AC2025!AP203="","",AC2025!AP203)</f>
        <v/>
      </c>
      <c r="T204" s="227">
        <f>IF(AC2025!AT203="","",AC2025!AT203)</f>
        <v/>
      </c>
    </row>
    <row r="205">
      <c r="B205" s="226">
        <f>IF(AC2025!B204="","",AC2025!B204)</f>
        <v/>
      </c>
      <c r="C205" s="226">
        <f>IF(AC2025!E204="","",AC2025!E204)</f>
        <v/>
      </c>
      <c r="D205" s="227">
        <f>IF(AC2025!H204="","",AC2025!H204)</f>
        <v/>
      </c>
      <c r="E205" s="227">
        <f>IF(AC2025!K204="","",AC2025!K204)</f>
        <v/>
      </c>
      <c r="F205" s="227">
        <f>IF(AC2025!L204="","",AC2025!L204)</f>
        <v/>
      </c>
      <c r="G205" s="227">
        <f>IF(AC2025!P204="","",AC2025!P204)</f>
        <v/>
      </c>
      <c r="H205" s="227">
        <f>IF(AC2025!O204="","",AC2025!O204)</f>
        <v/>
      </c>
      <c r="I205" s="227">
        <f>IF(AC2025!U204="","",AC2025!U204)</f>
        <v/>
      </c>
      <c r="J205" s="227">
        <f>IF(AC2025!X204="","",AC2025!X204)</f>
        <v/>
      </c>
      <c r="K205" s="227">
        <f>IF(AC2025!Y204="","",AC2025!Y204)</f>
        <v/>
      </c>
      <c r="L205" s="227">
        <f>IF(AC2025!Z204="","",AC2025!Z204)</f>
        <v/>
      </c>
      <c r="M205" s="227">
        <f>IF(AC2025!AA204="","",AC2025!AA204)</f>
        <v/>
      </c>
      <c r="N205" s="227">
        <f>IF(AC2025!AD204="","",AC2025!AD204)</f>
        <v/>
      </c>
      <c r="O205" s="227">
        <f>IF(AC2025!AE204="","",AC2025!AE204)</f>
        <v/>
      </c>
      <c r="P205" s="227">
        <f>IF(AC2025!AF204="","",AC2025!AF204)</f>
        <v/>
      </c>
      <c r="Q205" s="226">
        <f>IF(AC2025!AI204="","",AC2025!AI204)</f>
        <v/>
      </c>
      <c r="R205" s="227">
        <f>IF(AC2025!AM204="","",AC2025!AM204)</f>
        <v/>
      </c>
      <c r="S205" s="226">
        <f>IF(AC2025!AP204="","",AC2025!AP204)</f>
        <v/>
      </c>
      <c r="T205" s="227">
        <f>IF(AC2025!AT204="","",AC2025!AT204)</f>
        <v/>
      </c>
    </row>
  </sheetData>
  <mergeCells count="1">
    <mergeCell ref="B2:L3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0" summaryRight="0"/>
    <pageSetUpPr/>
  </sheetPr>
  <dimension ref="A1:BB500"/>
  <sheetViews>
    <sheetView tabSelected="1" zoomScale="125" workbookViewId="0">
      <pane xSplit="3" ySplit="5" topLeftCell="D6" activePane="bottomRight" state="frozen"/>
      <selection pane="topRight" activeCell="A1" sqref="A1"/>
      <selection pane="bottomLeft" activeCell="A1" sqref="A1"/>
      <selection pane="bottomRight" activeCell="C6" sqref="C6"/>
    </sheetView>
  </sheetViews>
  <sheetFormatPr baseColWidth="10" defaultColWidth="8.83203125" defaultRowHeight="15" outlineLevelRow="1"/>
  <cols>
    <col width="6" customWidth="1" style="110" min="1" max="1"/>
    <col width="30" customWidth="1" style="110" min="2" max="2"/>
    <col width="12" customWidth="1" style="110" min="3" max="3"/>
    <col outlineLevel="1" width="30" customWidth="1" style="110" min="4" max="4"/>
    <col outlineLevel="2" width="30" customWidth="1" style="110" min="5" max="5"/>
    <col outlineLevel="2" width="12" customWidth="1" style="110" min="6" max="7"/>
    <col outlineLevel="2" width="14" customWidth="1" style="110" min="8" max="8"/>
    <col outlineLevel="2" width="35" customWidth="1" style="110" min="9" max="9"/>
    <col outlineLevel="1" width="15.5" customWidth="1" style="110" min="10" max="10"/>
    <col outlineLevel="2" width="15" customWidth="1" style="110" min="11" max="11"/>
    <col outlineLevel="2" width="35" customWidth="1" style="110" min="12" max="12"/>
    <col outlineLevel="1" width="14" customWidth="1" style="110" min="13" max="13"/>
    <col outlineLevel="2" width="14" customWidth="1" style="110" min="14" max="15"/>
    <col outlineLevel="2" width="18" customWidth="1" style="110" min="16" max="16"/>
    <col outlineLevel="2" width="35" customWidth="1" style="110" min="17" max="17"/>
    <col outlineLevel="1" width="14" customWidth="1" style="110" min="18" max="18"/>
    <col outlineLevel="2" width="14" customWidth="1" style="110" min="19" max="19"/>
    <col outlineLevel="2" width="35" customWidth="1" style="110" min="20" max="20"/>
    <col outlineLevel="1" width="14" customWidth="1" style="110" min="21" max="21"/>
    <col outlineLevel="2" width="14" customWidth="1" style="110" min="22" max="23"/>
    <col outlineLevel="2" width="16" customWidth="1" style="110" min="24" max="24"/>
    <col outlineLevel="2" width="12" customWidth="1" style="110" min="25" max="25"/>
    <col outlineLevel="2" width="35" customWidth="1" style="110" min="26" max="26"/>
    <col outlineLevel="1" width="14" customWidth="1" style="110" min="27" max="27"/>
    <col outlineLevel="2" width="14" customWidth="1" style="110" min="28" max="30"/>
    <col outlineLevel="2" width="12" customWidth="1" style="110" min="31" max="32"/>
    <col outlineLevel="2" width="30" customWidth="1" style="110" min="33" max="33"/>
    <col outlineLevel="1" width="30" customWidth="1" style="110" min="34" max="34"/>
    <col outlineLevel="2" width="12" customWidth="1" style="110" min="35" max="37"/>
    <col outlineLevel="2" width="14" customWidth="1" style="110" min="38" max="39"/>
    <col outlineLevel="2" width="35" customWidth="1" style="110" min="40" max="40"/>
    <col outlineLevel="1" width="30" customWidth="1" style="110" min="41" max="41"/>
    <col outlineLevel="2" width="30" customWidth="1" style="110" min="42" max="42"/>
    <col outlineLevel="2" width="12" customWidth="1" style="110" min="43" max="44"/>
    <col outlineLevel="2" width="14" customWidth="1" style="110" min="45" max="46"/>
    <col outlineLevel="2" width="35" customWidth="1" style="110" min="47" max="47"/>
    <col width="30" customWidth="1" style="110" min="48" max="48"/>
    <col outlineLevel="1" width="30" customWidth="1" style="110" min="49" max="49"/>
    <col outlineLevel="1" width="14" customWidth="1" style="110" min="50" max="50"/>
    <col outlineLevel="1" width="30" customWidth="1" style="110" min="51" max="51"/>
    <col width="40" customWidth="1" style="110" min="52" max="52"/>
    <col outlineLevel="1" width="40" customWidth="1" style="110" min="53" max="54"/>
  </cols>
  <sheetData>
    <row r="1" ht="32" customHeight="1" s="110">
      <c r="A1" s="126" t="inlineStr">
        <is>
          <t>GERENCIADOR DE PROJETOS  —  ANO CALENDÁRIO 2025</t>
        </is>
      </c>
    </row>
    <row r="2" ht="14" customHeight="1" s="110">
      <c r="A2" s="138" t="inlineStr">
        <is>
          <t>Transfer Pricing — Controle de Entregáveis, Solicitações e Pendências</t>
        </is>
      </c>
    </row>
    <row r="3" ht="8" customHeight="1" s="110">
      <c r="A3" s="127" t="n"/>
    </row>
    <row r="4" ht="26" customHeight="1" s="110" thickBot="1">
      <c r="A4" s="119" t="inlineStr">
        <is>
          <t>IDENTIFICAÇÃO</t>
        </is>
      </c>
      <c r="B4" s="216" t="n"/>
      <c r="C4" s="217" t="n"/>
      <c r="D4" s="136" t="inlineStr">
        <is>
          <t>TAREFAS</t>
        </is>
      </c>
      <c r="E4" s="216" t="n"/>
      <c r="F4" s="216" t="n"/>
      <c r="G4" s="216" t="n"/>
      <c r="H4" s="216" t="n"/>
      <c r="I4" s="217" t="n"/>
      <c r="J4" s="120" t="inlineStr">
        <is>
          <t>BENCHMARKING</t>
        </is>
      </c>
      <c r="L4" s="216" t="n"/>
      <c r="M4" s="217" t="n"/>
      <c r="N4" s="122" t="inlineStr">
        <is>
          <t>ECF</t>
        </is>
      </c>
      <c r="O4" s="216" t="n"/>
      <c r="Q4" s="216" t="n"/>
      <c r="R4" s="216" t="n"/>
      <c r="S4" s="217" t="n"/>
      <c r="T4" s="139" t="inlineStr">
        <is>
          <t>MEMORANDO</t>
        </is>
      </c>
      <c r="U4" s="216" t="n"/>
      <c r="V4" s="217" t="n"/>
      <c r="W4" s="132" t="inlineStr">
        <is>
          <t>LOCAL FILE</t>
        </is>
      </c>
      <c r="X4" s="216" t="n"/>
      <c r="Y4" s="216" t="n"/>
      <c r="Z4" s="216" t="n"/>
      <c r="AA4" s="216" t="n"/>
      <c r="AB4" s="217" t="n"/>
      <c r="AC4" s="128" t="inlineStr">
        <is>
          <t>MASTER FILE</t>
        </is>
      </c>
      <c r="AD4" s="216" t="n"/>
      <c r="AE4" s="216" t="n"/>
      <c r="AF4" s="216" t="n"/>
      <c r="AG4" s="217" t="n"/>
      <c r="AH4" s="218" t="inlineStr">
        <is>
          <t>SOLICITAÇOES</t>
        </is>
      </c>
      <c r="AN4" s="219" t="n"/>
      <c r="AO4" s="134" t="inlineStr">
        <is>
          <t>PENDÊNCIAS</t>
        </is>
      </c>
      <c r="AP4" s="216" t="n"/>
      <c r="AQ4" s="216" t="n"/>
      <c r="AR4" s="216" t="n"/>
      <c r="AS4" s="216" t="n"/>
      <c r="AT4" s="216" t="n"/>
      <c r="AU4" s="217" t="n"/>
      <c r="AV4" s="130" t="inlineStr">
        <is>
          <t>ENTREGÁVEIS</t>
        </is>
      </c>
      <c r="AW4" s="216" t="n"/>
      <c r="AX4" s="216" t="n"/>
      <c r="AY4" s="217" t="n"/>
      <c r="AZ4" s="124" t="inlineStr">
        <is>
          <t>ANOTAÇÕES</t>
        </is>
      </c>
      <c r="BA4" s="216" t="n"/>
      <c r="BB4" s="217" t="n"/>
    </row>
    <row r="5" ht="36" customHeight="1" s="110" thickBot="1">
      <c r="A5" s="85" t="inlineStr">
        <is>
          <t>Tipo</t>
        </is>
      </c>
      <c r="B5" s="85" t="inlineStr">
        <is>
          <t>Projeto / Cliente</t>
        </is>
      </c>
      <c r="C5" s="85" t="inlineStr">
        <is>
          <t>GTB</t>
        </is>
      </c>
      <c r="D5" s="100" t="inlineStr">
        <is>
          <t>ABA TAREFA</t>
        </is>
      </c>
      <c r="E5" s="86" t="inlineStr">
        <is>
          <t>Tarefa</t>
        </is>
      </c>
      <c r="F5" s="86" t="inlineStr">
        <is>
          <t>Início</t>
        </is>
      </c>
      <c r="G5" s="86" t="inlineStr">
        <is>
          <t>Fim</t>
        </is>
      </c>
      <c r="H5" s="86" t="inlineStr">
        <is>
          <t>Status</t>
        </is>
      </c>
      <c r="I5" s="86" t="inlineStr">
        <is>
          <t>Comentário</t>
        </is>
      </c>
      <c r="J5" s="101" t="inlineStr">
        <is>
          <t>ABA BENCHMARKING</t>
        </is>
      </c>
      <c r="K5" s="87" t="inlineStr">
        <is>
          <t>Segmento</t>
        </is>
      </c>
      <c r="L5" s="87" t="inlineStr">
        <is>
          <t>Status</t>
        </is>
      </c>
      <c r="M5" s="87" t="inlineStr">
        <is>
          <t>Comentário</t>
        </is>
      </c>
      <c r="N5" s="102" t="inlineStr">
        <is>
          <t>ABA ECF</t>
        </is>
      </c>
      <c r="O5" s="88" t="inlineStr">
        <is>
          <t>Status ECF</t>
        </is>
      </c>
      <c r="P5" s="88" t="inlineStr">
        <is>
          <t>Tipo de transação</t>
        </is>
      </c>
      <c r="Q5" s="88" t="inlineStr">
        <is>
          <t>E-mail Enviado?</t>
        </is>
      </c>
      <c r="R5" s="88" t="inlineStr">
        <is>
          <t>Cliente Retornou?</t>
        </is>
      </c>
      <c r="S5" s="88" t="inlineStr">
        <is>
          <t>Comentário ECF</t>
        </is>
      </c>
      <c r="T5" s="103" t="inlineStr">
        <is>
          <t>ABA MEMORANDO</t>
        </is>
      </c>
      <c r="U5" s="89" t="inlineStr">
        <is>
          <t>Status Memo</t>
        </is>
      </c>
      <c r="V5" s="89" t="inlineStr">
        <is>
          <t>Comentário Memo</t>
        </is>
      </c>
      <c r="W5" s="104" t="inlineStr">
        <is>
          <t>ABA LOCAL FILE</t>
        </is>
      </c>
      <c r="X5" s="90" t="inlineStr">
        <is>
          <t>Status LF</t>
        </is>
      </c>
      <c r="Y5" s="90" t="inlineStr">
        <is>
          <t>E-mail Enviado?</t>
        </is>
      </c>
      <c r="Z5" s="90" t="inlineStr">
        <is>
          <t>Cliente Retornou?</t>
        </is>
      </c>
      <c r="AA5" s="90" t="inlineStr">
        <is>
          <t>Data Limite</t>
        </is>
      </c>
      <c r="AB5" s="90" t="inlineStr">
        <is>
          <t>Comentário LF</t>
        </is>
      </c>
      <c r="AC5" s="99" t="inlineStr">
        <is>
          <t>ABA MASTER FILE</t>
        </is>
      </c>
      <c r="AD5" s="91" t="inlineStr">
        <is>
          <t>Status MF</t>
        </is>
      </c>
      <c r="AE5" s="91" t="inlineStr">
        <is>
          <t>E-mail Enviado?</t>
        </is>
      </c>
      <c r="AF5" s="91" t="inlineStr">
        <is>
          <t>Previsão de recebimento</t>
        </is>
      </c>
      <c r="AG5" s="91" t="inlineStr">
        <is>
          <t>Anotações Gerais MF</t>
        </is>
      </c>
      <c r="AH5" s="105" t="inlineStr">
        <is>
          <t>ABA SOLICITAÇÕES</t>
        </is>
      </c>
      <c r="AI5" s="92" t="inlineStr">
        <is>
          <t>Solicitação</t>
        </is>
      </c>
      <c r="AJ5" s="92" t="inlineStr">
        <is>
          <t>Data Início</t>
        </is>
      </c>
      <c r="AK5" s="92" t="inlineStr">
        <is>
          <t>Repetir até</t>
        </is>
      </c>
      <c r="AL5" s="92" t="inlineStr">
        <is>
          <t>Frequência</t>
        </is>
      </c>
      <c r="AM5" s="92" t="inlineStr">
        <is>
          <t>Status</t>
        </is>
      </c>
      <c r="AN5" s="92" t="inlineStr">
        <is>
          <t>Comentário</t>
        </is>
      </c>
      <c r="AO5" s="106" t="inlineStr">
        <is>
          <t>ABA PENDÊNCIAS</t>
        </is>
      </c>
      <c r="AP5" s="93" t="inlineStr">
        <is>
          <t>Pendência</t>
        </is>
      </c>
      <c r="AQ5" s="93" t="inlineStr">
        <is>
          <t>Data Início</t>
        </is>
      </c>
      <c r="AR5" s="93" t="inlineStr">
        <is>
          <t>Repetir até</t>
        </is>
      </c>
      <c r="AS5" s="93" t="inlineStr">
        <is>
          <t>Frequência</t>
        </is>
      </c>
      <c r="AT5" s="93" t="inlineStr">
        <is>
          <t>Status</t>
        </is>
      </c>
      <c r="AU5" s="93" t="inlineStr">
        <is>
          <t>Comentário</t>
        </is>
      </c>
      <c r="AV5" s="107" t="inlineStr">
        <is>
          <t>ABA ENTREGÁVEIS</t>
        </is>
      </c>
      <c r="AW5" s="94" t="inlineStr">
        <is>
          <t>Entregável</t>
        </is>
      </c>
      <c r="AX5" s="94" t="inlineStr">
        <is>
          <t>Status</t>
        </is>
      </c>
      <c r="AY5" s="94" t="inlineStr">
        <is>
          <t>Comentário</t>
        </is>
      </c>
      <c r="AZ5" s="108" t="inlineStr">
        <is>
          <t>ABA ANOTAÇÕES</t>
        </is>
      </c>
      <c r="BA5" s="95" t="inlineStr">
        <is>
          <t>Política TP / Histórico</t>
        </is>
      </c>
      <c r="BB5" s="95" t="inlineStr">
        <is>
          <t>Discussões e Conclusões</t>
        </is>
      </c>
    </row>
    <row r="6" collapsed="1" ht="22" customHeight="1" s="110">
      <c r="A6" s="96" t="n"/>
      <c r="B6" s="96" t="inlineStr">
        <is>
          <t>Dorf Ketal</t>
        </is>
      </c>
      <c r="C6" s="96" t="inlineStr">
        <is>
          <t>GTB-1000</t>
        </is>
      </c>
      <c r="D6" s="96" t="n"/>
      <c r="E6" s="96" t="n"/>
      <c r="F6" s="96" t="n"/>
      <c r="G6" s="96" t="n"/>
      <c r="H6" s="96" t="n"/>
      <c r="I6" s="96" t="n"/>
      <c r="J6" s="96" t="n"/>
      <c r="K6" t="inlineStr">
        <is>
          <t>Manufatura</t>
        </is>
      </c>
      <c r="L6" s="96" t="inlineStr">
        <is>
          <t>● Doing</t>
        </is>
      </c>
      <c r="M6" s="96" t="n"/>
      <c r="N6" s="96" t="n"/>
      <c r="O6" s="96" t="inlineStr">
        <is>
          <t>● Done</t>
        </is>
      </c>
      <c r="P6" t="inlineStr">
        <is>
          <t>Nacional</t>
        </is>
      </c>
      <c r="Q6" s="96" t="n"/>
      <c r="R6" s="96" t="n"/>
      <c r="S6" s="96" t="n"/>
      <c r="T6" s="96" t="n"/>
      <c r="U6" s="96" t="inlineStr">
        <is>
          <t>● Done</t>
        </is>
      </c>
      <c r="V6" s="96" t="n"/>
      <c r="W6" s="96" t="n"/>
      <c r="X6" s="96" t="inlineStr">
        <is>
          <t>● Waiting</t>
        </is>
      </c>
      <c r="Y6" s="96" t="n"/>
      <c r="Z6" s="96" t="n"/>
      <c r="AA6" s="96" t="n"/>
      <c r="AB6" s="96" t="n"/>
      <c r="AC6" s="96" t="n"/>
      <c r="AD6" s="96" t="inlineStr">
        <is>
          <t>Recebido</t>
        </is>
      </c>
      <c r="AE6" s="98" t="n"/>
      <c r="AF6" s="96" t="n"/>
      <c r="AG6" s="96" t="n"/>
      <c r="AH6" s="96" t="n"/>
      <c r="AI6" s="96" t="n"/>
      <c r="AJ6" s="96" t="n"/>
      <c r="AK6" s="96" t="n"/>
      <c r="AL6" s="96" t="n"/>
      <c r="AM6" s="96" t="inlineStr">
        <is>
          <t>● Concluído</t>
        </is>
      </c>
      <c r="AN6" s="96" t="n"/>
      <c r="AO6" s="96" t="n"/>
      <c r="AP6" s="96" t="n"/>
      <c r="AQ6" s="96" t="n"/>
      <c r="AR6" s="96" t="n"/>
      <c r="AS6" s="96" t="n"/>
      <c r="AT6" s="96" t="inlineStr">
        <is>
          <t>● Concluído</t>
        </is>
      </c>
      <c r="AU6" s="96" t="n"/>
      <c r="AV6" s="96" t="n"/>
      <c r="AW6" s="96" t="n"/>
      <c r="AX6" s="96" t="inlineStr">
        <is>
          <t>● Done</t>
        </is>
      </c>
      <c r="AY6" s="96" t="n"/>
      <c r="AZ6" s="96" t="n"/>
      <c r="BA6" s="96" t="n"/>
      <c r="BB6" s="96" t="n"/>
    </row>
    <row r="7" outlineLevel="1" ht="30" customHeight="1" s="110">
      <c r="A7" s="97" t="n"/>
      <c r="B7" s="97" t="inlineStr">
        <is>
          <t>LINHA ONDE VOU PREENCHER AS INFORMACOES</t>
        </is>
      </c>
      <c r="C7" s="97" t="inlineStr">
        <is>
          <t>GTB9890833</t>
        </is>
      </c>
      <c r="D7" s="97" t="n"/>
      <c r="E7" s="97" t="inlineStr">
        <is>
          <t>Tarefa de detalhamento 1 para Dorf Ketal</t>
        </is>
      </c>
      <c r="F7" s="97" t="inlineStr">
        <is>
          <t>22/22/2222</t>
        </is>
      </c>
      <c r="G7" s="97" t="inlineStr">
        <is>
          <t>22/22/2222</t>
        </is>
      </c>
      <c r="H7" s="97" t="inlineStr">
        <is>
          <t>● To Do</t>
        </is>
      </c>
      <c r="I7" s="97" t="inlineStr">
        <is>
          <t>LOREM IPSUM</t>
        </is>
      </c>
      <c r="J7" s="97" t="n"/>
      <c r="K7" t="inlineStr">
        <is>
          <t>Manufatura</t>
        </is>
      </c>
      <c r="L7" s="97" t="n"/>
      <c r="M7" s="97" t="n"/>
      <c r="N7" s="97" t="n"/>
      <c r="O7" s="97" t="n"/>
      <c r="P7" t="inlineStr">
        <is>
          <t>Nacional</t>
        </is>
      </c>
      <c r="Q7" s="97" t="n"/>
      <c r="R7" s="97" t="n"/>
      <c r="S7" s="97" t="n"/>
      <c r="T7" s="97" t="n"/>
      <c r="U7" s="97" t="n"/>
      <c r="V7" s="97" t="n"/>
      <c r="W7" s="97" t="n"/>
      <c r="X7" s="97" t="n"/>
      <c r="Y7" s="97" t="n"/>
      <c r="Z7" s="97" t="n"/>
      <c r="AA7" s="97" t="n"/>
      <c r="AB7" s="97" t="n"/>
      <c r="AC7" s="97" t="n"/>
      <c r="AD7" s="97" t="inlineStr">
        <is>
          <t>Recebido</t>
        </is>
      </c>
      <c r="AE7" s="97" t="n"/>
      <c r="AF7" s="97" t="n"/>
      <c r="AG7" s="97" t="n"/>
      <c r="AH7" s="97" t="n"/>
      <c r="AI7" s="97" t="n"/>
      <c r="AJ7" s="97" t="n"/>
      <c r="AK7" s="97" t="n"/>
      <c r="AL7" s="97" t="n"/>
      <c r="AM7" s="97" t="n"/>
      <c r="AN7" s="97" t="n"/>
      <c r="AO7" s="97" t="n"/>
      <c r="AP7" s="97" t="n"/>
      <c r="AQ7" s="97" t="n"/>
      <c r="AR7" s="97" t="n"/>
      <c r="AS7" s="97" t="n"/>
      <c r="AT7" s="97" t="n"/>
      <c r="AU7" s="97" t="n"/>
      <c r="AV7" s="97" t="n"/>
      <c r="AW7" s="97" t="n"/>
      <c r="AX7" s="97" t="n"/>
      <c r="AY7" s="97" t="n"/>
      <c r="AZ7" s="97" t="n"/>
      <c r="BA7" s="97" t="n"/>
      <c r="BB7" s="97" t="n"/>
    </row>
    <row r="8" outlineLevel="1" ht="22" customHeight="1" s="110">
      <c r="A8" s="96" t="n"/>
      <c r="B8" s="96" t="n"/>
      <c r="C8" s="96" t="n"/>
      <c r="D8" s="96" t="n"/>
      <c r="E8" s="96" t="inlineStr">
        <is>
          <t>Tarefa de detalhamento 2 para Dorf Ketal</t>
        </is>
      </c>
      <c r="F8" s="96" t="n"/>
      <c r="G8" s="96" t="n"/>
      <c r="H8" s="96" t="inlineStr">
        <is>
          <t>● Doing</t>
        </is>
      </c>
      <c r="I8" s="96" t="n"/>
      <c r="J8" s="96" t="n"/>
      <c r="L8" s="96" t="n"/>
      <c r="M8" s="96" t="n"/>
      <c r="N8" s="96" t="n"/>
      <c r="O8" s="96" t="n"/>
      <c r="Q8" s="96" t="n"/>
      <c r="R8" s="96" t="n"/>
      <c r="S8" s="96" t="n"/>
      <c r="T8" s="96" t="n"/>
      <c r="U8" s="96" t="n"/>
      <c r="V8" s="96" t="n"/>
      <c r="W8" s="96" t="n"/>
      <c r="X8" s="96" t="n"/>
      <c r="Y8" s="96" t="n"/>
      <c r="Z8" s="96" t="n"/>
      <c r="AA8" s="96" t="n"/>
      <c r="AB8" s="96" t="n"/>
      <c r="AC8" s="96" t="n"/>
      <c r="AD8" s="96" t="n"/>
      <c r="AE8" s="96" t="n"/>
      <c r="AF8" s="96" t="n"/>
      <c r="AG8" s="96" t="n"/>
      <c r="AH8" s="96" t="n"/>
      <c r="AI8" s="96" t="n"/>
      <c r="AJ8" s="96" t="n"/>
      <c r="AK8" s="96" t="n"/>
      <c r="AL8" s="96" t="n"/>
      <c r="AM8" s="96" t="n"/>
      <c r="AN8" s="96" t="n"/>
      <c r="AO8" s="96" t="n"/>
      <c r="AP8" s="96" t="n"/>
      <c r="AQ8" s="96" t="n"/>
      <c r="AR8" s="96" t="n"/>
      <c r="AS8" s="96" t="n"/>
      <c r="AT8" s="96" t="n"/>
      <c r="AU8" s="96" t="n"/>
      <c r="AV8" s="96" t="n"/>
      <c r="AW8" s="96" t="n"/>
      <c r="AX8" s="96" t="n"/>
      <c r="AY8" s="96" t="n"/>
      <c r="AZ8" s="96" t="n"/>
      <c r="BA8" s="96" t="n"/>
      <c r="BB8" s="96" t="n"/>
    </row>
    <row r="9" outlineLevel="1" ht="22" customHeight="1" s="110">
      <c r="A9" s="97" t="n"/>
      <c r="B9" s="97" t="n"/>
      <c r="C9" s="97" t="n"/>
      <c r="D9" s="97" t="n"/>
      <c r="E9" s="97" t="inlineStr">
        <is>
          <t>Tarefa de detalhamento 3 para Dorf Ketal</t>
        </is>
      </c>
      <c r="F9" s="97" t="n"/>
      <c r="G9" s="97" t="n"/>
      <c r="H9" s="97" t="inlineStr">
        <is>
          <t>● To Do</t>
        </is>
      </c>
      <c r="I9" s="97" t="n"/>
      <c r="J9" s="97" t="n"/>
      <c r="L9" s="97" t="n"/>
      <c r="M9" s="97" t="n"/>
      <c r="N9" s="97" t="n"/>
      <c r="O9" s="97" t="n"/>
      <c r="Q9" s="97" t="n"/>
      <c r="R9" s="97" t="n"/>
      <c r="S9" s="97" t="n"/>
      <c r="T9" s="97" t="n"/>
      <c r="U9" s="97" t="n"/>
      <c r="V9" s="97" t="n"/>
      <c r="W9" s="97" t="n"/>
      <c r="X9" s="97" t="n"/>
      <c r="Y9" s="97" t="n"/>
      <c r="Z9" s="97" t="n"/>
      <c r="AA9" s="97" t="n"/>
      <c r="AB9" s="97" t="n"/>
      <c r="AC9" s="97" t="n"/>
      <c r="AD9" s="97" t="n"/>
      <c r="AE9" s="97" t="n"/>
      <c r="AF9" s="97" t="n"/>
      <c r="AG9" s="97" t="n"/>
      <c r="AH9" s="97" t="n"/>
      <c r="AI9" s="97" t="n"/>
      <c r="AJ9" s="97" t="n"/>
      <c r="AK9" s="97" t="n"/>
      <c r="AL9" s="97" t="n"/>
      <c r="AM9" s="97" t="n"/>
      <c r="AN9" s="97" t="n"/>
      <c r="AO9" s="97" t="n"/>
      <c r="AP9" s="97" t="n"/>
      <c r="AQ9" s="97" t="n"/>
      <c r="AR9" s="97" t="n"/>
      <c r="AS9" s="97" t="n"/>
      <c r="AT9" s="97" t="n"/>
      <c r="AU9" s="97" t="n"/>
      <c r="AV9" s="97" t="n"/>
      <c r="AW9" s="97" t="n"/>
      <c r="AX9" s="97" t="n"/>
      <c r="AY9" s="97" t="n"/>
      <c r="AZ9" s="97" t="n"/>
      <c r="BA9" s="97" t="n"/>
      <c r="BB9" s="97" t="n"/>
    </row>
    <row r="10" ht="22" customHeight="1" s="110">
      <c r="A10" s="96" t="n"/>
      <c r="B10" s="96" t="inlineStr">
        <is>
          <t>TechNova</t>
        </is>
      </c>
      <c r="C10" s="96" t="inlineStr">
        <is>
          <t>GTB-1001</t>
        </is>
      </c>
      <c r="D10" s="96" t="n"/>
      <c r="E10" s="96" t="n"/>
      <c r="F10" s="96" t="n"/>
      <c r="G10" s="96" t="n"/>
      <c r="H10" s="96" t="n"/>
      <c r="I10" s="96" t="n"/>
      <c r="J10" s="96" t="n"/>
      <c r="K10" t="inlineStr">
        <is>
          <t>Manufatura</t>
        </is>
      </c>
      <c r="L10" s="96" t="inlineStr">
        <is>
          <t>● N/A</t>
        </is>
      </c>
      <c r="M10" s="96" t="n"/>
      <c r="N10" s="96" t="n"/>
      <c r="O10" s="96" t="inlineStr">
        <is>
          <t>● To Do</t>
        </is>
      </c>
      <c r="P10" t="inlineStr">
        <is>
          <t>Nacional</t>
        </is>
      </c>
      <c r="Q10" s="96" t="n"/>
      <c r="R10" s="96" t="n"/>
      <c r="S10" s="96" t="n"/>
      <c r="T10" s="96" t="n"/>
      <c r="U10" s="96" t="inlineStr">
        <is>
          <t>● N/A</t>
        </is>
      </c>
      <c r="V10" s="96" t="n"/>
      <c r="W10" s="96" t="n"/>
      <c r="X10" s="96" t="inlineStr">
        <is>
          <t>● Doing</t>
        </is>
      </c>
      <c r="Y10" s="96" t="n"/>
      <c r="Z10" s="96" t="n"/>
      <c r="AA10" s="96" t="n"/>
      <c r="AB10" s="96" t="n"/>
      <c r="AC10" s="96" t="n"/>
      <c r="AD10" s="96" t="inlineStr">
        <is>
          <t>Não recebido</t>
        </is>
      </c>
      <c r="AE10" s="96" t="n"/>
      <c r="AF10" s="96" t="n"/>
      <c r="AG10" s="96" t="n"/>
      <c r="AH10" s="96" t="n"/>
      <c r="AI10" s="96" t="n"/>
      <c r="AJ10" s="96" t="n"/>
      <c r="AK10" s="96" t="n"/>
      <c r="AL10" s="96" t="n"/>
      <c r="AM10" s="96" t="inlineStr">
        <is>
          <t>● Concluído</t>
        </is>
      </c>
      <c r="AN10" s="96" t="n"/>
      <c r="AO10" s="96" t="n"/>
      <c r="AP10" s="96" t="n"/>
      <c r="AQ10" s="96" t="n"/>
      <c r="AR10" s="96" t="n"/>
      <c r="AS10" s="96" t="n"/>
      <c r="AT10" s="96" t="inlineStr">
        <is>
          <t>● Concluído</t>
        </is>
      </c>
      <c r="AU10" s="96" t="n"/>
      <c r="AV10" s="96" t="n"/>
      <c r="AW10" s="96" t="n"/>
      <c r="AX10" s="96" t="inlineStr">
        <is>
          <t>● Doing</t>
        </is>
      </c>
      <c r="AY10" s="96" t="n"/>
      <c r="AZ10" s="96" t="n"/>
      <c r="BA10" s="96" t="n"/>
      <c r="BB10" s="96" t="n"/>
    </row>
    <row r="11" outlineLevel="1" ht="22" customHeight="1" s="110">
      <c r="A11" s="97" t="n"/>
      <c r="B11" s="97" t="n"/>
      <c r="C11" s="97" t="n"/>
      <c r="D11" s="97" t="n"/>
      <c r="E11" s="97" t="inlineStr">
        <is>
          <t>Tarefa de detalhamento 1 para TechNova</t>
        </is>
      </c>
      <c r="F11" s="97" t="n"/>
      <c r="G11" s="97" t="n"/>
      <c r="H11" s="97" t="inlineStr">
        <is>
          <t>● Doing</t>
        </is>
      </c>
      <c r="I11" s="97" t="n"/>
      <c r="J11" s="97" t="n"/>
      <c r="L11" s="97" t="n"/>
      <c r="M11" s="97" t="n"/>
      <c r="N11" s="97" t="n"/>
      <c r="O11" s="97" t="n"/>
      <c r="Q11" s="97" t="n"/>
      <c r="R11" s="97" t="n"/>
      <c r="S11" s="97" t="n"/>
      <c r="T11" s="97" t="n"/>
      <c r="U11" s="97" t="n"/>
      <c r="V11" s="97" t="n"/>
      <c r="W11" s="97" t="n"/>
      <c r="X11" s="97" t="n"/>
      <c r="Y11" s="97" t="n"/>
      <c r="Z11" s="97" t="n"/>
      <c r="AA11" s="97" t="n"/>
      <c r="AB11" s="97" t="n"/>
      <c r="AC11" s="97" t="n"/>
      <c r="AD11" s="97" t="n"/>
      <c r="AE11" s="97" t="n"/>
      <c r="AF11" s="97" t="n"/>
      <c r="AG11" s="97" t="n"/>
      <c r="AH11" s="97" t="n"/>
      <c r="AI11" s="97" t="n"/>
      <c r="AJ11" s="97" t="n"/>
      <c r="AK11" s="97" t="n"/>
      <c r="AL11" s="97" t="n"/>
      <c r="AM11" s="97" t="n"/>
      <c r="AN11" s="97" t="n"/>
      <c r="AO11" s="97" t="n"/>
      <c r="AP11" s="97" t="n"/>
      <c r="AQ11" s="97" t="n"/>
      <c r="AR11" s="97" t="n"/>
      <c r="AS11" s="97" t="n"/>
      <c r="AT11" s="97" t="n"/>
      <c r="AU11" s="97" t="n"/>
      <c r="AV11" s="97" t="n"/>
      <c r="AW11" s="97" t="n"/>
      <c r="AX11" s="97" t="n"/>
      <c r="AY11" s="97" t="n"/>
      <c r="AZ11" s="97" t="n"/>
      <c r="BA11" s="97" t="n"/>
      <c r="BB11" s="97" t="n"/>
    </row>
    <row r="12" outlineLevel="1" ht="22" customHeight="1" s="110">
      <c r="A12" s="96" t="n"/>
      <c r="B12" s="96" t="n"/>
      <c r="C12" s="96" t="n"/>
      <c r="D12" s="96" t="n"/>
      <c r="E12" s="96" t="inlineStr">
        <is>
          <t>Tarefa de detalhamento 2 para TechNova</t>
        </is>
      </c>
      <c r="F12" s="96" t="n"/>
      <c r="G12" s="96" t="n"/>
      <c r="H12" s="96" t="inlineStr">
        <is>
          <t>● Doing</t>
        </is>
      </c>
      <c r="I12" s="96" t="n"/>
      <c r="J12" s="96" t="n"/>
      <c r="L12" s="96" t="n"/>
      <c r="M12" s="96" t="n"/>
      <c r="N12" s="96" t="n"/>
      <c r="O12" s="96" t="n"/>
      <c r="Q12" s="96" t="n"/>
      <c r="R12" s="96" t="n"/>
      <c r="S12" s="96" t="n"/>
      <c r="T12" s="96" t="n"/>
      <c r="U12" s="96" t="n"/>
      <c r="V12" s="96" t="n"/>
      <c r="W12" s="96" t="n"/>
      <c r="X12" s="96" t="n"/>
      <c r="Y12" s="96" t="n"/>
      <c r="Z12" s="96" t="n"/>
      <c r="AA12" s="96" t="n"/>
      <c r="AB12" s="96" t="n"/>
      <c r="AC12" s="96" t="n"/>
      <c r="AD12" s="96" t="n"/>
      <c r="AE12" s="96" t="n"/>
      <c r="AF12" s="96" t="n"/>
      <c r="AG12" s="96" t="n"/>
      <c r="AH12" s="96" t="n"/>
      <c r="AI12" s="96" t="n"/>
      <c r="AJ12" s="96" t="n"/>
      <c r="AK12" s="96" t="n"/>
      <c r="AL12" s="96" t="n"/>
      <c r="AM12" s="96" t="n"/>
      <c r="AN12" s="96" t="n"/>
      <c r="AO12" s="96" t="n"/>
      <c r="AP12" s="96" t="n"/>
      <c r="AQ12" s="96" t="n"/>
      <c r="AR12" s="96" t="n"/>
      <c r="AS12" s="96" t="n"/>
      <c r="AT12" s="96" t="n"/>
      <c r="AU12" s="96" t="n"/>
      <c r="AV12" s="96" t="n"/>
      <c r="AW12" s="96" t="n"/>
      <c r="AX12" s="96" t="n"/>
      <c r="AY12" s="96" t="n"/>
      <c r="AZ12" s="96" t="n"/>
      <c r="BA12" s="96" t="n"/>
      <c r="BB12" s="96" t="n"/>
    </row>
    <row r="13" ht="22" customHeight="1" s="110">
      <c r="A13" s="97" t="n"/>
      <c r="B13" s="97" t="inlineStr">
        <is>
          <t>GlobalCorp</t>
        </is>
      </c>
      <c r="C13" s="97" t="inlineStr">
        <is>
          <t>GTB-1002</t>
        </is>
      </c>
      <c r="D13" s="97" t="n"/>
      <c r="E13" s="97" t="n"/>
      <c r="F13" s="97" t="n"/>
      <c r="G13" s="97" t="n"/>
      <c r="H13" s="97" t="n"/>
      <c r="I13" s="97" t="n"/>
      <c r="J13" s="97" t="n"/>
      <c r="K13" t="inlineStr">
        <is>
          <t>Manufatura</t>
        </is>
      </c>
      <c r="L13" s="97" t="inlineStr">
        <is>
          <t>● N/A</t>
        </is>
      </c>
      <c r="M13" s="97" t="n"/>
      <c r="N13" s="97" t="n"/>
      <c r="O13" s="97" t="inlineStr">
        <is>
          <t>● Waiting</t>
        </is>
      </c>
      <c r="P13" t="inlineStr">
        <is>
          <t>Nacional</t>
        </is>
      </c>
      <c r="Q13" s="97" t="n"/>
      <c r="R13" s="97" t="n"/>
      <c r="S13" s="97" t="n"/>
      <c r="T13" s="97" t="n"/>
      <c r="U13" s="97" t="inlineStr">
        <is>
          <t>● To Do</t>
        </is>
      </c>
      <c r="V13" s="97" t="n"/>
      <c r="W13" s="97" t="n"/>
      <c r="X13" s="97" t="inlineStr">
        <is>
          <t>● To Do</t>
        </is>
      </c>
      <c r="Y13" s="97" t="n"/>
      <c r="Z13" s="97" t="n"/>
      <c r="AA13" s="97" t="n"/>
      <c r="AB13" s="97" t="n"/>
      <c r="AC13" s="97" t="n"/>
      <c r="AD13" s="97" t="inlineStr">
        <is>
          <t>Não recebido</t>
        </is>
      </c>
      <c r="AE13" s="97" t="n"/>
      <c r="AF13" s="97" t="n"/>
      <c r="AG13" s="97" t="n"/>
      <c r="AH13" s="97" t="n"/>
      <c r="AI13" s="97" t="n"/>
      <c r="AJ13" s="97" t="n"/>
      <c r="AK13" s="97" t="n"/>
      <c r="AL13" s="97" t="n"/>
      <c r="AM13" s="97" t="inlineStr">
        <is>
          <t>● Concluído</t>
        </is>
      </c>
      <c r="AN13" s="97" t="n"/>
      <c r="AO13" s="97" t="n"/>
      <c r="AP13" s="97" t="n"/>
      <c r="AQ13" s="97" t="n"/>
      <c r="AR13" s="97" t="n"/>
      <c r="AS13" s="97" t="n"/>
      <c r="AT13" s="97" t="inlineStr">
        <is>
          <t>● Pendente</t>
        </is>
      </c>
      <c r="AU13" s="97" t="n"/>
      <c r="AV13" s="97" t="n"/>
      <c r="AW13" s="97" t="n"/>
      <c r="AX13" s="97" t="inlineStr">
        <is>
          <t>● Waiting</t>
        </is>
      </c>
      <c r="AY13" s="97" t="n"/>
      <c r="AZ13" s="97" t="n"/>
      <c r="BA13" s="97" t="n"/>
      <c r="BB13" s="97" t="n"/>
    </row>
    <row r="14" outlineLevel="1" ht="22" customHeight="1" s="110">
      <c r="A14" s="96" t="n"/>
      <c r="B14" s="96" t="n"/>
      <c r="C14" s="96" t="n"/>
      <c r="D14" s="96" t="n"/>
      <c r="E14" s="96" t="inlineStr">
        <is>
          <t>Tarefa de detalhamento 1 para GlobalCorp</t>
        </is>
      </c>
      <c r="F14" s="96" t="n"/>
      <c r="G14" s="96" t="n"/>
      <c r="H14" s="96" t="inlineStr">
        <is>
          <t>● Done</t>
        </is>
      </c>
      <c r="I14" s="96" t="n"/>
      <c r="J14" s="96" t="n"/>
      <c r="L14" s="96" t="n"/>
      <c r="M14" s="96" t="n"/>
      <c r="N14" s="96" t="n"/>
      <c r="O14" s="96" t="n"/>
      <c r="Q14" s="96" t="n"/>
      <c r="R14" s="96" t="n"/>
      <c r="S14" s="96" t="n"/>
      <c r="T14" s="96" t="n"/>
      <c r="U14" s="96" t="n"/>
      <c r="V14" s="96" t="n"/>
      <c r="W14" s="96" t="n"/>
      <c r="X14" s="96" t="n"/>
      <c r="Y14" s="96" t="n"/>
      <c r="Z14" s="96" t="n"/>
      <c r="AA14" s="96" t="n"/>
      <c r="AB14" s="96" t="n"/>
      <c r="AC14" s="96" t="n"/>
      <c r="AD14" s="96" t="n"/>
      <c r="AE14" s="96" t="n"/>
      <c r="AF14" s="96" t="n"/>
      <c r="AG14" s="96" t="n"/>
      <c r="AH14" s="96" t="n"/>
      <c r="AI14" s="96" t="n"/>
      <c r="AJ14" s="96" t="n"/>
      <c r="AK14" s="96" t="n"/>
      <c r="AL14" s="96" t="n"/>
      <c r="AM14" s="96" t="n"/>
      <c r="AN14" s="96" t="n"/>
      <c r="AO14" s="96" t="n"/>
      <c r="AP14" s="96" t="n"/>
      <c r="AQ14" s="96" t="n"/>
      <c r="AR14" s="96" t="n"/>
      <c r="AS14" s="96" t="n"/>
      <c r="AT14" s="96" t="n"/>
      <c r="AU14" s="96" t="n"/>
      <c r="AV14" s="96" t="n"/>
      <c r="AW14" s="96" t="n"/>
      <c r="AX14" s="96" t="n"/>
      <c r="AY14" s="96" t="n"/>
      <c r="AZ14" s="96" t="n"/>
      <c r="BA14" s="96" t="n"/>
      <c r="BB14" s="96" t="n"/>
    </row>
    <row r="15" outlineLevel="1" ht="22" customHeight="1" s="110">
      <c r="A15" s="97" t="n"/>
      <c r="B15" s="97" t="n"/>
      <c r="C15" s="97" t="n"/>
      <c r="D15" s="97" t="n"/>
      <c r="E15" s="97" t="inlineStr">
        <is>
          <t>Tarefa de detalhamento 2 para GlobalCorp</t>
        </is>
      </c>
      <c r="F15" s="97" t="n"/>
      <c r="G15" s="97" t="n"/>
      <c r="H15" s="97" t="inlineStr">
        <is>
          <t>● Doing</t>
        </is>
      </c>
      <c r="I15" s="97" t="n"/>
      <c r="J15" s="97" t="n"/>
      <c r="L15" s="97" t="n"/>
      <c r="M15" s="97" t="n"/>
      <c r="N15" s="97" t="n"/>
      <c r="O15" s="97" t="n"/>
      <c r="Q15" s="97" t="n"/>
      <c r="R15" s="97" t="n"/>
      <c r="S15" s="97" t="n"/>
      <c r="T15" s="97" t="n"/>
      <c r="U15" s="97" t="n"/>
      <c r="V15" s="97" t="n"/>
      <c r="W15" s="97" t="n"/>
      <c r="X15" s="97" t="n"/>
      <c r="Y15" s="97" t="n"/>
      <c r="Z15" s="97" t="n"/>
      <c r="AA15" s="97" t="n"/>
      <c r="AB15" s="97" t="n"/>
      <c r="AC15" s="97" t="n"/>
      <c r="AD15" s="97" t="n"/>
      <c r="AE15" s="97" t="n"/>
      <c r="AF15" s="97" t="n"/>
      <c r="AG15" s="97" t="n"/>
      <c r="AH15" s="97" t="n"/>
      <c r="AI15" s="97" t="n"/>
      <c r="AJ15" s="97" t="n"/>
      <c r="AK15" s="97" t="n"/>
      <c r="AL15" s="97" t="n"/>
      <c r="AM15" s="97" t="n"/>
      <c r="AN15" s="97" t="n"/>
      <c r="AO15" s="97" t="n"/>
      <c r="AP15" s="97" t="n"/>
      <c r="AQ15" s="97" t="n"/>
      <c r="AR15" s="97" t="n"/>
      <c r="AS15" s="97" t="n"/>
      <c r="AT15" s="97" t="n"/>
      <c r="AU15" s="97" t="n"/>
      <c r="AV15" s="97" t="n"/>
      <c r="AW15" s="97" t="n"/>
      <c r="AX15" s="97" t="n"/>
      <c r="AY15" s="97" t="n"/>
      <c r="AZ15" s="97" t="n"/>
      <c r="BA15" s="97" t="n"/>
      <c r="BB15" s="97" t="n"/>
    </row>
    <row r="16" outlineLevel="1" ht="22" customHeight="1" s="110">
      <c r="A16" s="96" t="n"/>
      <c r="B16" s="96" t="n"/>
      <c r="C16" s="96" t="n"/>
      <c r="D16" s="96" t="n"/>
      <c r="E16" s="96" t="inlineStr">
        <is>
          <t>Tarefa de detalhamento 3 para GlobalCorp</t>
        </is>
      </c>
      <c r="F16" s="96" t="n"/>
      <c r="G16" s="96" t="n"/>
      <c r="H16" s="96" t="inlineStr">
        <is>
          <t>● To Do</t>
        </is>
      </c>
      <c r="I16" s="96" t="n"/>
      <c r="J16" s="96" t="n"/>
      <c r="L16" s="96" t="n"/>
      <c r="M16" s="96" t="n"/>
      <c r="N16" s="96" t="n"/>
      <c r="O16" s="96" t="n"/>
      <c r="Q16" s="96" t="n"/>
      <c r="R16" s="96" t="n"/>
      <c r="S16" s="96" t="n"/>
      <c r="T16" s="96" t="n"/>
      <c r="U16" s="96" t="n"/>
      <c r="V16" s="96" t="n"/>
      <c r="W16" s="96" t="n"/>
      <c r="X16" s="96" t="n"/>
      <c r="Y16" s="96" t="n"/>
      <c r="Z16" s="96" t="n"/>
      <c r="AA16" s="96" t="n"/>
      <c r="AB16" s="96" t="n"/>
      <c r="AC16" s="96" t="n"/>
      <c r="AD16" s="96" t="n"/>
      <c r="AE16" s="96" t="n"/>
      <c r="AF16" s="96" t="n"/>
      <c r="AG16" s="96" t="n"/>
      <c r="AH16" s="96" t="n"/>
      <c r="AI16" s="96" t="n"/>
      <c r="AJ16" s="96" t="n"/>
      <c r="AK16" s="96" t="n"/>
      <c r="AL16" s="96" t="n"/>
      <c r="AM16" s="96" t="n"/>
      <c r="AN16" s="96" t="n"/>
      <c r="AO16" s="96" t="n"/>
      <c r="AP16" s="96" t="n"/>
      <c r="AQ16" s="96" t="n"/>
      <c r="AR16" s="96" t="n"/>
      <c r="AS16" s="96" t="n"/>
      <c r="AT16" s="96" t="n"/>
      <c r="AU16" s="96" t="n"/>
      <c r="AV16" s="96" t="n"/>
      <c r="AW16" s="96" t="n"/>
      <c r="AX16" s="96" t="n"/>
      <c r="AY16" s="96" t="n"/>
      <c r="AZ16" s="96" t="n"/>
      <c r="BA16" s="96" t="n"/>
      <c r="BB16" s="96" t="n"/>
    </row>
    <row r="17" outlineLevel="1" ht="22" customHeight="1" s="110">
      <c r="A17" s="97" t="n"/>
      <c r="B17" s="97" t="n"/>
      <c r="C17" s="97" t="n"/>
      <c r="D17" s="97" t="n"/>
      <c r="E17" s="97" t="inlineStr">
        <is>
          <t>Tarefa de detalhamento 4 para GlobalCorp</t>
        </is>
      </c>
      <c r="F17" s="97" t="n"/>
      <c r="G17" s="97" t="n"/>
      <c r="H17" s="97" t="inlineStr">
        <is>
          <t>● Done</t>
        </is>
      </c>
      <c r="I17" s="97" t="n"/>
      <c r="J17" s="97" t="n"/>
      <c r="L17" s="97" t="n"/>
      <c r="M17" s="97" t="n"/>
      <c r="N17" s="97" t="n"/>
      <c r="O17" s="97" t="n"/>
      <c r="Q17" s="97" t="n"/>
      <c r="R17" s="97" t="n"/>
      <c r="S17" s="97" t="n"/>
      <c r="T17" s="97" t="n"/>
      <c r="U17" s="97" t="n"/>
      <c r="V17" s="97" t="n"/>
      <c r="W17" s="97" t="n"/>
      <c r="X17" s="97" t="n"/>
      <c r="Y17" s="97" t="n"/>
      <c r="Z17" s="97" t="n"/>
      <c r="AA17" s="97" t="n"/>
      <c r="AB17" s="97" t="n"/>
      <c r="AC17" s="97" t="n"/>
      <c r="AD17" s="97" t="n"/>
      <c r="AE17" s="97" t="n"/>
      <c r="AF17" s="97" t="n"/>
      <c r="AG17" s="97" t="n"/>
      <c r="AH17" s="97" t="n"/>
      <c r="AI17" s="97" t="n"/>
      <c r="AJ17" s="97" t="n"/>
      <c r="AK17" s="97" t="n"/>
      <c r="AL17" s="97" t="n"/>
      <c r="AM17" s="97" t="n"/>
      <c r="AN17" s="97" t="n"/>
      <c r="AO17" s="97" t="n"/>
      <c r="AP17" s="97" t="n"/>
      <c r="AQ17" s="97" t="n"/>
      <c r="AR17" s="97" t="n"/>
      <c r="AS17" s="97" t="n"/>
      <c r="AT17" s="97" t="n"/>
      <c r="AU17" s="97" t="n"/>
      <c r="AV17" s="97" t="n"/>
      <c r="AW17" s="97" t="n"/>
      <c r="AX17" s="97" t="n"/>
      <c r="AY17" s="97" t="n"/>
      <c r="AZ17" s="97" t="n"/>
      <c r="BA17" s="97" t="n"/>
      <c r="BB17" s="97" t="n"/>
    </row>
    <row r="18" ht="22" customHeight="1" s="110">
      <c r="A18" s="96" t="n"/>
      <c r="B18" s="96" t="inlineStr">
        <is>
          <t>Nexus Indust.</t>
        </is>
      </c>
      <c r="C18" s="96" t="inlineStr">
        <is>
          <t>GTB-1003</t>
        </is>
      </c>
      <c r="D18" s="96" t="n"/>
      <c r="E18" s="96" t="n"/>
      <c r="F18" s="96" t="n"/>
      <c r="G18" s="96" t="n"/>
      <c r="H18" s="96" t="n"/>
      <c r="I18" s="96" t="n"/>
      <c r="J18" s="96" t="n"/>
      <c r="K18" t="inlineStr">
        <is>
          <t>Manufatura</t>
        </is>
      </c>
      <c r="L18" s="96" t="inlineStr">
        <is>
          <t>● Done</t>
        </is>
      </c>
      <c r="M18" s="96" t="n"/>
      <c r="N18" s="96" t="n"/>
      <c r="O18" s="96" t="inlineStr">
        <is>
          <t>● Waiting</t>
        </is>
      </c>
      <c r="P18" t="inlineStr">
        <is>
          <t>Nacional</t>
        </is>
      </c>
      <c r="Q18" s="96" t="n"/>
      <c r="R18" s="96" t="n"/>
      <c r="S18" s="96" t="n"/>
      <c r="T18" s="96" t="n"/>
      <c r="U18" s="96" t="inlineStr">
        <is>
          <t>● Done</t>
        </is>
      </c>
      <c r="V18" s="96" t="n"/>
      <c r="W18" s="96" t="n"/>
      <c r="X18" s="96" t="inlineStr">
        <is>
          <t>● Done</t>
        </is>
      </c>
      <c r="Y18" s="96" t="n"/>
      <c r="Z18" s="96" t="n"/>
      <c r="AA18" s="96" t="n"/>
      <c r="AB18" s="96" t="n"/>
      <c r="AC18" s="96" t="n"/>
      <c r="AD18" s="96" t="inlineStr">
        <is>
          <t>Recebido</t>
        </is>
      </c>
      <c r="AE18" s="96" t="n"/>
      <c r="AF18" s="96" t="n"/>
      <c r="AG18" s="96" t="n"/>
      <c r="AH18" s="96" t="n"/>
      <c r="AI18" s="96" t="n"/>
      <c r="AJ18" s="96" t="n"/>
      <c r="AK18" s="96" t="n"/>
      <c r="AL18" s="96" t="n"/>
      <c r="AM18" s="96" t="inlineStr">
        <is>
          <t>● Pendente</t>
        </is>
      </c>
      <c r="AN18" s="96" t="n"/>
      <c r="AO18" s="96" t="n"/>
      <c r="AP18" s="96" t="n"/>
      <c r="AQ18" s="96" t="n"/>
      <c r="AR18" s="96" t="n"/>
      <c r="AS18" s="96" t="n"/>
      <c r="AT18" s="96" t="inlineStr">
        <is>
          <t>● Pendente</t>
        </is>
      </c>
      <c r="AU18" s="96" t="n"/>
      <c r="AV18" s="96" t="n"/>
      <c r="AW18" s="96" t="n"/>
      <c r="AX18" s="96" t="inlineStr">
        <is>
          <t>● Done</t>
        </is>
      </c>
      <c r="AY18" s="96" t="n"/>
      <c r="AZ18" s="96" t="n"/>
      <c r="BA18" s="96" t="n"/>
      <c r="BB18" s="96" t="n"/>
    </row>
    <row r="19" outlineLevel="1" ht="22" customHeight="1" s="110">
      <c r="A19" s="97" t="n"/>
      <c r="B19" s="97" t="n"/>
      <c r="C19" s="97" t="n"/>
      <c r="D19" s="97" t="n"/>
      <c r="E19" s="97" t="inlineStr">
        <is>
          <t>Tarefa de detalhamento 1 para Nexus Indust.</t>
        </is>
      </c>
      <c r="F19" s="97" t="n"/>
      <c r="G19" s="97" t="n"/>
      <c r="H19" s="97" t="inlineStr">
        <is>
          <t>● To Do</t>
        </is>
      </c>
      <c r="I19" s="97" t="n"/>
      <c r="J19" s="97" t="n"/>
      <c r="L19" s="97" t="n"/>
      <c r="M19" s="97" t="n"/>
      <c r="N19" s="97" t="n"/>
      <c r="O19" s="97" t="n"/>
      <c r="Q19" s="97" t="n"/>
      <c r="R19" s="97" t="n"/>
      <c r="S19" s="97" t="n"/>
      <c r="T19" s="97" t="n"/>
      <c r="U19" s="97" t="n"/>
      <c r="V19" s="97" t="n"/>
      <c r="W19" s="97" t="n"/>
      <c r="X19" s="97" t="n"/>
      <c r="Y19" s="97" t="n"/>
      <c r="Z19" s="97" t="n"/>
      <c r="AA19" s="97" t="n"/>
      <c r="AB19" s="97" t="n"/>
      <c r="AC19" s="97" t="n"/>
      <c r="AD19" s="97" t="n"/>
      <c r="AE19" s="97" t="n"/>
      <c r="AF19" s="97" t="n"/>
      <c r="AG19" s="97" t="n"/>
      <c r="AH19" s="97" t="n"/>
      <c r="AI19" s="97" t="n"/>
      <c r="AJ19" s="97" t="n"/>
      <c r="AK19" s="97" t="n"/>
      <c r="AL19" s="97" t="n"/>
      <c r="AM19" s="97" t="n"/>
      <c r="AN19" s="97" t="n"/>
      <c r="AO19" s="97" t="n"/>
      <c r="AP19" s="97" t="n"/>
      <c r="AQ19" s="97" t="n"/>
      <c r="AR19" s="97" t="n"/>
      <c r="AS19" s="97" t="n"/>
      <c r="AT19" s="97" t="n"/>
      <c r="AU19" s="97" t="n"/>
      <c r="AV19" s="97" t="n"/>
      <c r="AW19" s="97" t="n"/>
      <c r="AX19" s="97" t="n"/>
      <c r="AY19" s="97" t="n"/>
      <c r="AZ19" s="97" t="n"/>
      <c r="BA19" s="97" t="n"/>
      <c r="BB19" s="97" t="n"/>
    </row>
    <row r="20" outlineLevel="1" ht="22" customHeight="1" s="110">
      <c r="A20" s="96" t="n"/>
      <c r="B20" s="96" t="n"/>
      <c r="C20" s="96" t="n"/>
      <c r="D20" s="96" t="n"/>
      <c r="E20" s="96" t="inlineStr">
        <is>
          <t>Tarefa de detalhamento 2 para Nexus Indust.</t>
        </is>
      </c>
      <c r="F20" s="96" t="n"/>
      <c r="G20" s="96" t="n"/>
      <c r="H20" s="96" t="inlineStr">
        <is>
          <t>● Done</t>
        </is>
      </c>
      <c r="I20" s="96" t="n"/>
      <c r="J20" s="96" t="n"/>
      <c r="L20" s="96" t="n"/>
      <c r="M20" s="96" t="n"/>
      <c r="N20" s="96" t="n"/>
      <c r="O20" s="96" t="n"/>
      <c r="Q20" s="96" t="n"/>
      <c r="R20" s="96" t="n"/>
      <c r="S20" s="96" t="n"/>
      <c r="T20" s="96" t="n"/>
      <c r="U20" s="96" t="n"/>
      <c r="V20" s="96" t="n"/>
      <c r="W20" s="96" t="n"/>
      <c r="X20" s="96" t="n"/>
      <c r="Y20" s="96" t="n"/>
      <c r="Z20" s="96" t="n"/>
      <c r="AA20" s="96" t="n"/>
      <c r="AB20" s="96" t="n"/>
      <c r="AC20" s="96" t="n"/>
      <c r="AD20" s="96" t="n"/>
      <c r="AE20" s="96" t="n"/>
      <c r="AF20" s="96" t="n"/>
      <c r="AG20" s="96" t="n"/>
      <c r="AH20" s="96" t="n"/>
      <c r="AI20" s="96" t="n"/>
      <c r="AJ20" s="96" t="n"/>
      <c r="AK20" s="96" t="n"/>
      <c r="AL20" s="96" t="n"/>
      <c r="AM20" s="96" t="n"/>
      <c r="AN20" s="96" t="n"/>
      <c r="AO20" s="96" t="n"/>
      <c r="AP20" s="96" t="n"/>
      <c r="AQ20" s="96" t="n"/>
      <c r="AR20" s="96" t="n"/>
      <c r="AS20" s="96" t="n"/>
      <c r="AT20" s="96" t="n"/>
      <c r="AU20" s="96" t="n"/>
      <c r="AV20" s="96" t="n"/>
      <c r="AW20" s="96" t="n"/>
      <c r="AX20" s="96" t="n"/>
      <c r="AY20" s="96" t="n"/>
      <c r="AZ20" s="96" t="n"/>
      <c r="BA20" s="96" t="n"/>
      <c r="BB20" s="96" t="n"/>
    </row>
    <row r="21" outlineLevel="1" ht="22" customHeight="1" s="110">
      <c r="A21" s="97" t="n"/>
      <c r="B21" s="97" t="n"/>
      <c r="C21" s="97" t="n"/>
      <c r="D21" s="97" t="n"/>
      <c r="E21" s="97" t="inlineStr">
        <is>
          <t>Tarefa de detalhamento 3 para Nexus Indust.</t>
        </is>
      </c>
      <c r="F21" s="97" t="n"/>
      <c r="G21" s="97" t="n"/>
      <c r="H21" s="97" t="inlineStr">
        <is>
          <t>● Done</t>
        </is>
      </c>
      <c r="I21" s="97" t="n"/>
      <c r="J21" s="97" t="n"/>
      <c r="L21" s="97" t="n"/>
      <c r="M21" s="97" t="n"/>
      <c r="N21" s="97" t="n"/>
      <c r="O21" s="97" t="n"/>
      <c r="Q21" s="97" t="n"/>
      <c r="R21" s="97" t="n"/>
      <c r="S21" s="97" t="n"/>
      <c r="T21" s="97" t="n"/>
      <c r="U21" s="97" t="n"/>
      <c r="V21" s="97" t="n"/>
      <c r="W21" s="97" t="n"/>
      <c r="X21" s="97" t="n"/>
      <c r="Y21" s="97" t="n"/>
      <c r="Z21" s="97" t="n"/>
      <c r="AA21" s="97" t="n"/>
      <c r="AB21" s="97" t="n"/>
      <c r="AC21" s="97" t="n"/>
      <c r="AD21" s="97" t="n"/>
      <c r="AE21" s="97" t="n"/>
      <c r="AF21" s="97" t="n"/>
      <c r="AG21" s="97" t="n"/>
      <c r="AH21" s="97" t="n"/>
      <c r="AI21" s="97" t="n"/>
      <c r="AJ21" s="97" t="n"/>
      <c r="AK21" s="97" t="n"/>
      <c r="AL21" s="97" t="n"/>
      <c r="AM21" s="97" t="n"/>
      <c r="AN21" s="97" t="n"/>
      <c r="AO21" s="97" t="n"/>
      <c r="AP21" s="97" t="n"/>
      <c r="AQ21" s="97" t="n"/>
      <c r="AR21" s="97" t="n"/>
      <c r="AS21" s="97" t="n"/>
      <c r="AT21" s="97" t="n"/>
      <c r="AU21" s="97" t="n"/>
      <c r="AV21" s="97" t="n"/>
      <c r="AW21" s="97" t="n"/>
      <c r="AX21" s="97" t="n"/>
      <c r="AY21" s="97" t="n"/>
      <c r="AZ21" s="97" t="n"/>
      <c r="BA21" s="97" t="n"/>
      <c r="BB21" s="97" t="n"/>
    </row>
    <row r="22" ht="22" customHeight="1" s="110">
      <c r="A22" s="96" t="n"/>
      <c r="B22" s="96" t="inlineStr">
        <is>
          <t>Alpha Trading</t>
        </is>
      </c>
      <c r="C22" s="96" t="inlineStr">
        <is>
          <t>GTB-1004</t>
        </is>
      </c>
      <c r="D22" s="96" t="n"/>
      <c r="E22" s="96" t="n"/>
      <c r="F22" s="96" t="n"/>
      <c r="G22" s="96" t="n"/>
      <c r="H22" s="96" t="n"/>
      <c r="I22" s="96" t="n"/>
      <c r="J22" s="96" t="n"/>
      <c r="K22" t="inlineStr">
        <is>
          <t>Varejo</t>
        </is>
      </c>
      <c r="L22" s="96" t="inlineStr">
        <is>
          <t>● To Do</t>
        </is>
      </c>
      <c r="M22" s="96" t="n"/>
      <c r="N22" s="96" t="n"/>
      <c r="O22" s="96" t="inlineStr">
        <is>
          <t>● Done</t>
        </is>
      </c>
      <c r="P22" t="inlineStr">
        <is>
          <t>Nacional</t>
        </is>
      </c>
      <c r="Q22" s="96" t="n"/>
      <c r="R22" s="96" t="n"/>
      <c r="S22" s="96" t="n"/>
      <c r="T22" s="96" t="n"/>
      <c r="U22" s="96" t="inlineStr">
        <is>
          <t>● Done</t>
        </is>
      </c>
      <c r="V22" s="96" t="n"/>
      <c r="W22" s="96" t="n"/>
      <c r="X22" s="96" t="inlineStr">
        <is>
          <t>● Waiting</t>
        </is>
      </c>
      <c r="Y22" s="96" t="n"/>
      <c r="Z22" s="96" t="n"/>
      <c r="AA22" s="96" t="n"/>
      <c r="AB22" s="96" t="n"/>
      <c r="AC22" s="96" t="n"/>
      <c r="AD22" s="96" t="inlineStr">
        <is>
          <t>Recebido</t>
        </is>
      </c>
      <c r="AE22" s="96" t="n"/>
      <c r="AF22" s="96" t="n"/>
      <c r="AG22" s="96" t="n"/>
      <c r="AH22" s="96" t="n"/>
      <c r="AI22" s="96" t="n"/>
      <c r="AJ22" s="96" t="n"/>
      <c r="AK22" s="96" t="n"/>
      <c r="AL22" s="96" t="n"/>
      <c r="AM22" s="96" t="inlineStr">
        <is>
          <t>● Concluído</t>
        </is>
      </c>
      <c r="AN22" s="96" t="n"/>
      <c r="AO22" s="96" t="n"/>
      <c r="AP22" s="96" t="n"/>
      <c r="AQ22" s="96" t="n"/>
      <c r="AR22" s="96" t="n"/>
      <c r="AS22" s="96" t="n"/>
      <c r="AT22" s="96" t="inlineStr">
        <is>
          <t>● Pendente</t>
        </is>
      </c>
      <c r="AU22" s="96" t="n"/>
      <c r="AV22" s="96" t="n"/>
      <c r="AW22" s="96" t="n"/>
      <c r="AX22" s="96" t="inlineStr">
        <is>
          <t>● Doing</t>
        </is>
      </c>
      <c r="AY22" s="96" t="n"/>
      <c r="AZ22" s="96" t="n"/>
      <c r="BA22" s="96" t="n"/>
      <c r="BB22" s="96" t="n"/>
    </row>
    <row r="23" outlineLevel="1" ht="22" customHeight="1" s="110">
      <c r="A23" s="97" t="n"/>
      <c r="B23" s="97" t="n"/>
      <c r="C23" s="97" t="n"/>
      <c r="D23" s="97" t="n"/>
      <c r="E23" s="97" t="inlineStr">
        <is>
          <t>Tarefa de detalhamento 1 para Alpha Trading</t>
        </is>
      </c>
      <c r="F23" s="97" t="n"/>
      <c r="G23" s="97" t="n"/>
      <c r="H23" s="97" t="inlineStr">
        <is>
          <t>● Done</t>
        </is>
      </c>
      <c r="I23" s="97" t="n"/>
      <c r="J23" s="97" t="n"/>
      <c r="L23" s="97" t="n"/>
      <c r="M23" s="97" t="n"/>
      <c r="N23" s="97" t="n"/>
      <c r="O23" s="97" t="n"/>
      <c r="Q23" s="97" t="n"/>
      <c r="R23" s="97" t="n"/>
      <c r="S23" s="97" t="n"/>
      <c r="T23" s="97" t="n"/>
      <c r="U23" s="97" t="n"/>
      <c r="V23" s="97" t="n"/>
      <c r="W23" s="97" t="n"/>
      <c r="X23" s="97" t="n"/>
      <c r="Y23" s="97" t="n"/>
      <c r="Z23" s="97" t="n"/>
      <c r="AA23" s="97" t="n"/>
      <c r="AB23" s="97" t="n"/>
      <c r="AC23" s="97" t="n"/>
      <c r="AD23" s="97" t="n"/>
      <c r="AE23" s="97" t="n"/>
      <c r="AF23" s="97" t="n"/>
      <c r="AG23" s="97" t="n"/>
      <c r="AH23" s="97" t="n"/>
      <c r="AI23" s="97" t="n"/>
      <c r="AJ23" s="97" t="n"/>
      <c r="AK23" s="97" t="n"/>
      <c r="AL23" s="97" t="n"/>
      <c r="AM23" s="97" t="n"/>
      <c r="AN23" s="97" t="n"/>
      <c r="AO23" s="97" t="n"/>
      <c r="AP23" s="97" t="n"/>
      <c r="AQ23" s="97" t="n"/>
      <c r="AR23" s="97" t="n"/>
      <c r="AS23" s="97" t="n"/>
      <c r="AT23" s="97" t="n"/>
      <c r="AU23" s="97" t="n"/>
      <c r="AV23" s="97" t="n"/>
      <c r="AW23" s="97" t="n"/>
      <c r="AX23" s="97" t="n"/>
      <c r="AY23" s="97" t="n"/>
      <c r="AZ23" s="97" t="n"/>
      <c r="BA23" s="97" t="n"/>
      <c r="BB23" s="97" t="n"/>
    </row>
    <row r="24" outlineLevel="1" ht="22" customHeight="1" s="110">
      <c r="A24" s="96" t="n"/>
      <c r="B24" s="96" t="n"/>
      <c r="C24" s="96" t="n"/>
      <c r="D24" s="96" t="n"/>
      <c r="E24" s="96" t="inlineStr">
        <is>
          <t>Tarefa de detalhamento 2 para Alpha Trading</t>
        </is>
      </c>
      <c r="F24" s="96" t="n"/>
      <c r="G24" s="96" t="n"/>
      <c r="H24" s="96" t="inlineStr">
        <is>
          <t>● To Do</t>
        </is>
      </c>
      <c r="I24" s="96" t="n"/>
      <c r="J24" s="96" t="n"/>
      <c r="L24" s="96" t="n"/>
      <c r="M24" s="96" t="n"/>
      <c r="N24" s="96" t="n"/>
      <c r="O24" s="96" t="n"/>
      <c r="Q24" s="96" t="n"/>
      <c r="R24" s="96" t="n"/>
      <c r="S24" s="96" t="n"/>
      <c r="T24" s="96" t="n"/>
      <c r="U24" s="96" t="n"/>
      <c r="V24" s="96" t="n"/>
      <c r="W24" s="96" t="n"/>
      <c r="X24" s="96" t="n"/>
      <c r="Y24" s="96" t="n"/>
      <c r="Z24" s="96" t="n"/>
      <c r="AA24" s="96" t="n"/>
      <c r="AB24" s="96" t="n"/>
      <c r="AC24" s="96" t="n"/>
      <c r="AD24" s="96" t="n"/>
      <c r="AE24" s="96" t="n"/>
      <c r="AF24" s="96" t="n"/>
      <c r="AG24" s="96" t="n"/>
      <c r="AH24" s="96" t="n"/>
      <c r="AI24" s="96" t="n"/>
      <c r="AJ24" s="96" t="n"/>
      <c r="AK24" s="96" t="n"/>
      <c r="AL24" s="96" t="n"/>
      <c r="AM24" s="96" t="n"/>
      <c r="AN24" s="96" t="n"/>
      <c r="AO24" s="96" t="n"/>
      <c r="AP24" s="96" t="n"/>
      <c r="AQ24" s="96" t="n"/>
      <c r="AR24" s="96" t="n"/>
      <c r="AS24" s="96" t="n"/>
      <c r="AT24" s="96" t="n"/>
      <c r="AU24" s="96" t="n"/>
      <c r="AV24" s="96" t="n"/>
      <c r="AW24" s="96" t="n"/>
      <c r="AX24" s="96" t="n"/>
      <c r="AY24" s="96" t="n"/>
      <c r="AZ24" s="96" t="n"/>
      <c r="BA24" s="96" t="n"/>
      <c r="BB24" s="96" t="n"/>
    </row>
    <row r="25" outlineLevel="1" ht="22" customHeight="1" s="110">
      <c r="A25" s="97" t="n"/>
      <c r="B25" s="97" t="n"/>
      <c r="C25" s="97" t="n"/>
      <c r="D25" s="97" t="n"/>
      <c r="E25" s="97" t="inlineStr">
        <is>
          <t>Tarefa de detalhamento 3 para Alpha Trading</t>
        </is>
      </c>
      <c r="F25" s="97" t="n"/>
      <c r="G25" s="97" t="n"/>
      <c r="H25" s="97" t="inlineStr">
        <is>
          <t>● To Do</t>
        </is>
      </c>
      <c r="I25" s="97" t="n"/>
      <c r="J25" s="97" t="n"/>
      <c r="L25" s="97" t="n"/>
      <c r="M25" s="97" t="n"/>
      <c r="N25" s="97" t="n"/>
      <c r="O25" s="97" t="n"/>
      <c r="Q25" s="97" t="n"/>
      <c r="R25" s="97" t="n"/>
      <c r="S25" s="97" t="n"/>
      <c r="T25" s="97" t="n"/>
      <c r="U25" s="97" t="n"/>
      <c r="V25" s="97" t="n"/>
      <c r="W25" s="97" t="n"/>
      <c r="X25" s="97" t="n"/>
      <c r="Y25" s="97" t="n"/>
      <c r="Z25" s="97" t="n"/>
      <c r="AA25" s="97" t="n"/>
      <c r="AB25" s="97" t="n"/>
      <c r="AC25" s="97" t="n"/>
      <c r="AD25" s="97" t="n"/>
      <c r="AE25" s="97" t="n"/>
      <c r="AF25" s="97" t="n"/>
      <c r="AG25" s="97" t="n"/>
      <c r="AH25" s="97" t="n"/>
      <c r="AI25" s="97" t="n"/>
      <c r="AJ25" s="97" t="n"/>
      <c r="AK25" s="97" t="n"/>
      <c r="AL25" s="97" t="n"/>
      <c r="AM25" s="97" t="n"/>
      <c r="AN25" s="97" t="n"/>
      <c r="AO25" s="97" t="n"/>
      <c r="AP25" s="97" t="n"/>
      <c r="AQ25" s="97" t="n"/>
      <c r="AR25" s="97" t="n"/>
      <c r="AS25" s="97" t="n"/>
      <c r="AT25" s="97" t="n"/>
      <c r="AU25" s="97" t="n"/>
      <c r="AV25" s="97" t="n"/>
      <c r="AW25" s="97" t="n"/>
      <c r="AX25" s="97" t="n"/>
      <c r="AY25" s="97" t="n"/>
      <c r="AZ25" s="97" t="n"/>
      <c r="BA25" s="97" t="n"/>
      <c r="BB25" s="97" t="n"/>
    </row>
    <row r="26" outlineLevel="1" ht="22" customHeight="1" s="110">
      <c r="A26" s="96" t="n"/>
      <c r="B26" s="96" t="n"/>
      <c r="C26" s="96" t="n"/>
      <c r="D26" s="96" t="n"/>
      <c r="E26" s="96" t="inlineStr">
        <is>
          <t>Tarefa de detalhamento 4 para Alpha Trading</t>
        </is>
      </c>
      <c r="F26" s="96" t="n"/>
      <c r="G26" s="96" t="n"/>
      <c r="H26" s="96" t="inlineStr">
        <is>
          <t>● To Do</t>
        </is>
      </c>
      <c r="I26" s="96" t="n"/>
      <c r="J26" s="96" t="n"/>
      <c r="L26" s="96" t="n"/>
      <c r="M26" s="96" t="n"/>
      <c r="N26" s="96" t="n"/>
      <c r="O26" s="96" t="n"/>
      <c r="Q26" s="96" t="n"/>
      <c r="R26" s="96" t="n"/>
      <c r="S26" s="96" t="n"/>
      <c r="T26" s="96" t="n"/>
      <c r="U26" s="96" t="n"/>
      <c r="V26" s="96" t="n"/>
      <c r="W26" s="96" t="n"/>
      <c r="X26" s="96" t="n"/>
      <c r="Y26" s="96" t="n"/>
      <c r="Z26" s="96" t="n"/>
      <c r="AA26" s="96" t="n"/>
      <c r="AB26" s="96" t="n"/>
      <c r="AC26" s="96" t="n"/>
      <c r="AD26" s="96" t="n"/>
      <c r="AE26" s="96" t="n"/>
      <c r="AF26" s="96" t="n"/>
      <c r="AG26" s="96" t="n"/>
      <c r="AH26" s="96" t="n"/>
      <c r="AI26" s="96" t="n"/>
      <c r="AJ26" s="96" t="n"/>
      <c r="AK26" s="96" t="n"/>
      <c r="AL26" s="96" t="n"/>
      <c r="AM26" s="96" t="n"/>
      <c r="AN26" s="96" t="n"/>
      <c r="AO26" s="96" t="n"/>
      <c r="AP26" s="96" t="n"/>
      <c r="AQ26" s="96" t="n"/>
      <c r="AR26" s="96" t="n"/>
      <c r="AS26" s="96" t="n"/>
      <c r="AT26" s="96" t="n"/>
      <c r="AU26" s="96" t="n"/>
      <c r="AV26" s="96" t="n"/>
      <c r="AW26" s="96" t="n"/>
      <c r="AX26" s="96" t="n"/>
      <c r="AY26" s="96" t="n"/>
      <c r="AZ26" s="96" t="n"/>
      <c r="BA26" s="96" t="n"/>
      <c r="BB26" s="96" t="n"/>
    </row>
    <row r="27" ht="22" customHeight="1" s="110">
      <c r="A27" s="97" t="n"/>
      <c r="B27" s="97" t="n"/>
      <c r="C27" s="97" t="n"/>
      <c r="D27" s="97" t="n"/>
      <c r="E27" s="97" t="n"/>
      <c r="F27" s="97" t="n"/>
      <c r="G27" s="97" t="n"/>
      <c r="H27" s="97" t="n"/>
      <c r="I27" s="97" t="n"/>
      <c r="J27" s="97" t="n"/>
      <c r="L27" s="97" t="n"/>
      <c r="M27" s="97" t="n"/>
      <c r="N27" s="97" t="n"/>
      <c r="O27" s="97" t="n"/>
      <c r="Q27" s="97" t="n"/>
      <c r="R27" s="97" t="n"/>
      <c r="S27" s="97" t="n"/>
      <c r="T27" s="97" t="n"/>
      <c r="U27" s="97" t="n"/>
      <c r="V27" s="97" t="n"/>
      <c r="W27" s="97" t="n"/>
      <c r="X27" s="97" t="n"/>
      <c r="Y27" s="97" t="n"/>
      <c r="Z27" s="97" t="n"/>
      <c r="AA27" s="97" t="n"/>
      <c r="AB27" s="97" t="n"/>
      <c r="AC27" s="97" t="n"/>
      <c r="AD27" s="97" t="n"/>
      <c r="AE27" s="97" t="n"/>
      <c r="AF27" s="97" t="n"/>
      <c r="AG27" s="97" t="n"/>
      <c r="AH27" s="97" t="n"/>
      <c r="AI27" s="97" t="n"/>
      <c r="AJ27" s="97" t="n"/>
      <c r="AK27" s="97" t="n"/>
      <c r="AL27" s="97" t="n"/>
      <c r="AM27" s="97" t="n"/>
      <c r="AN27" s="97" t="n"/>
      <c r="AO27" s="97" t="n"/>
      <c r="AP27" s="97" t="n"/>
      <c r="AQ27" s="97" t="n"/>
      <c r="AR27" s="97" t="n"/>
      <c r="AS27" s="97" t="n"/>
      <c r="AT27" s="97" t="n"/>
      <c r="AU27" s="97" t="n"/>
      <c r="AV27" s="97" t="n"/>
      <c r="AW27" s="97" t="n"/>
      <c r="AX27" s="97" t="n"/>
      <c r="AY27" s="97" t="n"/>
      <c r="AZ27" s="97" t="n"/>
      <c r="BA27" s="97" t="n"/>
      <c r="BB27" s="97" t="n"/>
    </row>
    <row r="28" ht="22" customHeight="1" s="110">
      <c r="A28" s="96" t="n"/>
      <c r="B28" s="96" t="n"/>
      <c r="C28" s="96" t="n"/>
      <c r="D28" s="96" t="n"/>
      <c r="E28" s="96" t="n"/>
      <c r="F28" s="96" t="n"/>
      <c r="G28" s="96" t="n"/>
      <c r="H28" s="96" t="n"/>
      <c r="I28" s="96" t="n"/>
      <c r="J28" s="96" t="n"/>
      <c r="L28" s="96" t="n"/>
      <c r="M28" s="96" t="n"/>
      <c r="N28" s="96" t="n"/>
      <c r="O28" s="96" t="n"/>
      <c r="Q28" s="96" t="n"/>
      <c r="R28" s="96" t="n"/>
      <c r="S28" s="96" t="n"/>
      <c r="T28" s="96" t="n"/>
      <c r="U28" s="96" t="n"/>
      <c r="V28" s="96" t="n"/>
      <c r="W28" s="96" t="n"/>
      <c r="X28" s="96" t="n"/>
      <c r="Y28" s="96" t="n"/>
      <c r="Z28" s="96" t="n"/>
      <c r="AA28" s="96" t="n"/>
      <c r="AB28" s="96" t="n"/>
      <c r="AC28" s="96" t="n"/>
      <c r="AD28" s="96" t="n"/>
      <c r="AE28" s="96" t="n"/>
      <c r="AF28" s="96" t="n"/>
      <c r="AG28" s="96" t="n"/>
      <c r="AH28" s="96" t="n"/>
      <c r="AI28" s="96" t="n"/>
      <c r="AJ28" s="96" t="n"/>
      <c r="AK28" s="96" t="n"/>
      <c r="AL28" s="96" t="n"/>
      <c r="AM28" s="96" t="n"/>
      <c r="AN28" s="96" t="n"/>
      <c r="AO28" s="96" t="n"/>
      <c r="AP28" s="96" t="n"/>
      <c r="AQ28" s="96" t="n"/>
      <c r="AR28" s="96" t="n"/>
      <c r="AS28" s="96" t="n"/>
      <c r="AT28" s="96" t="n"/>
      <c r="AU28" s="96" t="n"/>
      <c r="AV28" s="96" t="n"/>
      <c r="AW28" s="96" t="n"/>
      <c r="AX28" s="96" t="n"/>
      <c r="AY28" s="96" t="n"/>
      <c r="AZ28" s="96" t="n"/>
      <c r="BA28" s="96" t="n"/>
      <c r="BB28" s="96" t="n"/>
    </row>
    <row r="29" ht="22" customHeight="1" s="110">
      <c r="A29" s="97" t="n"/>
      <c r="B29" s="97" t="n"/>
      <c r="C29" s="97" t="n"/>
      <c r="D29" s="97" t="n"/>
      <c r="E29" s="97" t="n"/>
      <c r="F29" s="97" t="n"/>
      <c r="G29" s="97" t="n"/>
      <c r="H29" s="97" t="n"/>
      <c r="I29" s="97" t="n"/>
      <c r="J29" s="97" t="n"/>
      <c r="L29" s="97" t="n"/>
      <c r="M29" s="97" t="n"/>
      <c r="N29" s="97" t="n"/>
      <c r="O29" s="97" t="n"/>
      <c r="Q29" s="97" t="n"/>
      <c r="R29" s="97" t="n"/>
      <c r="S29" s="97" t="n"/>
      <c r="T29" s="97" t="n"/>
      <c r="U29" s="97" t="n"/>
      <c r="V29" s="97" t="n"/>
      <c r="W29" s="97" t="n"/>
      <c r="X29" s="97" t="n"/>
      <c r="Y29" s="97" t="n"/>
      <c r="Z29" s="97" t="n"/>
      <c r="AA29" s="97" t="n"/>
      <c r="AB29" s="97" t="n"/>
      <c r="AC29" s="97" t="n"/>
      <c r="AD29" s="97" t="n"/>
      <c r="AE29" s="97" t="n"/>
      <c r="AF29" s="97" t="n"/>
      <c r="AG29" s="97" t="n"/>
      <c r="AH29" s="97" t="n"/>
      <c r="AI29" s="97" t="n"/>
      <c r="AJ29" s="97" t="n"/>
      <c r="AK29" s="97" t="n"/>
      <c r="AL29" s="97" t="n"/>
      <c r="AM29" s="97" t="n"/>
      <c r="AN29" s="97" t="n"/>
      <c r="AO29" s="97" t="n"/>
      <c r="AP29" s="97" t="n"/>
      <c r="AQ29" s="97" t="n"/>
      <c r="AR29" s="97" t="n"/>
      <c r="AS29" s="97" t="n"/>
      <c r="AT29" s="97" t="n"/>
      <c r="AU29" s="97" t="n"/>
      <c r="AV29" s="97" t="n"/>
      <c r="AW29" s="97" t="n"/>
      <c r="AX29" s="97" t="n"/>
      <c r="AY29" s="97" t="n"/>
      <c r="AZ29" s="97" t="n"/>
      <c r="BA29" s="97" t="n"/>
      <c r="BB29" s="97" t="n"/>
    </row>
    <row r="30" ht="22" customHeight="1" s="110">
      <c r="A30" s="96" t="n"/>
      <c r="B30" s="96" t="n"/>
      <c r="C30" s="96" t="n"/>
      <c r="D30" s="96" t="n"/>
      <c r="E30" s="96" t="n"/>
      <c r="F30" s="96" t="n"/>
      <c r="G30" s="96" t="n"/>
      <c r="H30" s="96" t="n"/>
      <c r="I30" s="96" t="n"/>
      <c r="J30" s="96" t="n"/>
      <c r="L30" s="96" t="n"/>
      <c r="M30" s="96" t="n"/>
      <c r="N30" s="96" t="n"/>
      <c r="O30" s="96" t="n"/>
      <c r="Q30" s="96" t="n"/>
      <c r="R30" s="96" t="n"/>
      <c r="S30" s="96" t="n"/>
      <c r="T30" s="96" t="n"/>
      <c r="U30" s="96" t="n"/>
      <c r="V30" s="96" t="n"/>
      <c r="W30" s="96" t="n"/>
      <c r="X30" s="96" t="n"/>
      <c r="Y30" s="96" t="n"/>
      <c r="Z30" s="96" t="n"/>
      <c r="AA30" s="96" t="n"/>
      <c r="AB30" s="96" t="n"/>
      <c r="AC30" s="96" t="n"/>
      <c r="AD30" s="96" t="n"/>
      <c r="AE30" s="96" t="n"/>
      <c r="AF30" s="96" t="n"/>
      <c r="AG30" s="96" t="n"/>
      <c r="AH30" s="96" t="n"/>
      <c r="AI30" s="96" t="n"/>
      <c r="AJ30" s="96" t="n"/>
      <c r="AK30" s="96" t="n"/>
      <c r="AL30" s="96" t="n"/>
      <c r="AM30" s="96" t="n"/>
      <c r="AN30" s="96" t="n"/>
      <c r="AO30" s="96" t="n"/>
      <c r="AP30" s="96" t="n"/>
      <c r="AQ30" s="96" t="n"/>
      <c r="AR30" s="96" t="n"/>
      <c r="AS30" s="96" t="n"/>
      <c r="AT30" s="96" t="n"/>
      <c r="AU30" s="96" t="n"/>
      <c r="AV30" s="96" t="n"/>
      <c r="AW30" s="96" t="n"/>
      <c r="AX30" s="96" t="n"/>
      <c r="AY30" s="96" t="n"/>
      <c r="AZ30" s="96" t="n"/>
      <c r="BA30" s="96" t="n"/>
      <c r="BB30" s="96" t="n"/>
    </row>
    <row r="31" ht="22" customHeight="1" s="110">
      <c r="A31" s="97" t="n"/>
      <c r="B31" s="97" t="n"/>
      <c r="C31" s="97" t="n"/>
      <c r="D31" s="97" t="n"/>
      <c r="E31" s="97" t="n"/>
      <c r="F31" s="97" t="n"/>
      <c r="G31" s="97" t="n"/>
      <c r="H31" s="97" t="n"/>
      <c r="I31" s="97" t="n"/>
      <c r="J31" s="97" t="n"/>
      <c r="L31" s="97" t="n"/>
      <c r="M31" s="97" t="n"/>
      <c r="N31" s="97" t="n"/>
      <c r="O31" s="97" t="n"/>
      <c r="Q31" s="97" t="n"/>
      <c r="R31" s="97" t="n"/>
      <c r="S31" s="97" t="n"/>
      <c r="T31" s="97" t="n"/>
      <c r="U31" s="97" t="n"/>
      <c r="V31" s="97" t="n"/>
      <c r="W31" s="97" t="n"/>
      <c r="X31" s="97" t="n"/>
      <c r="Y31" s="97" t="n"/>
      <c r="Z31" s="97" t="n"/>
      <c r="AA31" s="97" t="n"/>
      <c r="AB31" s="97" t="n"/>
      <c r="AC31" s="97" t="n"/>
      <c r="AD31" s="97" t="n"/>
      <c r="AE31" s="97" t="n"/>
      <c r="AF31" s="97" t="n"/>
      <c r="AG31" s="97" t="n"/>
      <c r="AH31" s="97" t="n"/>
      <c r="AI31" s="97" t="n"/>
      <c r="AJ31" s="97" t="n"/>
      <c r="AK31" s="97" t="n"/>
      <c r="AL31" s="97" t="n"/>
      <c r="AM31" s="97" t="n"/>
      <c r="AN31" s="97" t="n"/>
      <c r="AO31" s="97" t="n"/>
      <c r="AP31" s="97" t="n"/>
      <c r="AQ31" s="97" t="n"/>
      <c r="AR31" s="97" t="n"/>
      <c r="AS31" s="97" t="n"/>
      <c r="AT31" s="97" t="n"/>
      <c r="AU31" s="97" t="n"/>
      <c r="AV31" s="97" t="n"/>
      <c r="AW31" s="97" t="n"/>
      <c r="AX31" s="97" t="n"/>
      <c r="AY31" s="97" t="n"/>
      <c r="AZ31" s="97" t="n"/>
      <c r="BA31" s="97" t="n"/>
      <c r="BB31" s="97" t="n"/>
    </row>
    <row r="32" ht="22" customHeight="1" s="110">
      <c r="A32" s="96" t="n"/>
      <c r="B32" s="96" t="n"/>
      <c r="C32" s="96" t="n"/>
      <c r="D32" s="96" t="n"/>
      <c r="E32" s="96" t="n"/>
      <c r="F32" s="96" t="n"/>
      <c r="G32" s="96" t="n"/>
      <c r="H32" s="96" t="n"/>
      <c r="I32" s="96" t="n"/>
      <c r="J32" s="96" t="n"/>
      <c r="L32" s="96" t="n"/>
      <c r="M32" s="96" t="n"/>
      <c r="N32" s="96" t="n"/>
      <c r="O32" s="96" t="n"/>
      <c r="Q32" s="96" t="n"/>
      <c r="R32" s="96" t="n"/>
      <c r="S32" s="96" t="n"/>
      <c r="T32" s="96" t="n"/>
      <c r="U32" s="96" t="n"/>
      <c r="V32" s="96" t="n"/>
      <c r="W32" s="96" t="n"/>
      <c r="X32" s="96" t="n"/>
      <c r="Y32" s="96" t="n"/>
      <c r="Z32" s="96" t="n"/>
      <c r="AA32" s="96" t="n"/>
      <c r="AB32" s="96" t="n"/>
      <c r="AC32" s="96" t="n"/>
      <c r="AD32" s="96" t="n"/>
      <c r="AE32" s="96" t="n"/>
      <c r="AF32" s="96" t="n"/>
      <c r="AG32" s="96" t="n"/>
      <c r="AH32" s="96" t="n"/>
      <c r="AI32" s="96" t="n"/>
      <c r="AJ32" s="96" t="n"/>
      <c r="AK32" s="96" t="n"/>
      <c r="AL32" s="96" t="n"/>
      <c r="AM32" s="96" t="n"/>
      <c r="AN32" s="96" t="n"/>
      <c r="AO32" s="96" t="n"/>
      <c r="AP32" s="96" t="n"/>
      <c r="AQ32" s="96" t="n"/>
      <c r="AR32" s="96" t="n"/>
      <c r="AS32" s="96" t="n"/>
      <c r="AT32" s="96" t="n"/>
      <c r="AU32" s="96" t="n"/>
      <c r="AV32" s="96" t="n"/>
      <c r="AW32" s="96" t="n"/>
      <c r="AX32" s="96" t="n"/>
      <c r="AY32" s="96" t="n"/>
      <c r="AZ32" s="96" t="n"/>
      <c r="BA32" s="96" t="n"/>
      <c r="BB32" s="96" t="n"/>
    </row>
    <row r="33" ht="22" customHeight="1" s="110">
      <c r="A33" s="97" t="n"/>
      <c r="B33" s="97" t="n"/>
      <c r="C33" s="97" t="n"/>
      <c r="D33" s="97" t="n"/>
      <c r="E33" s="97" t="n"/>
      <c r="F33" s="97" t="n"/>
      <c r="G33" s="97" t="n"/>
      <c r="H33" s="97" t="n"/>
      <c r="I33" s="97" t="n"/>
      <c r="J33" s="97" t="n"/>
      <c r="L33" s="97" t="n"/>
      <c r="M33" s="97" t="n"/>
      <c r="N33" s="97" t="n"/>
      <c r="O33" s="97" t="n"/>
      <c r="Q33" s="97" t="n"/>
      <c r="R33" s="97" t="n"/>
      <c r="S33" s="97" t="n"/>
      <c r="T33" s="97" t="n"/>
      <c r="U33" s="97" t="n"/>
      <c r="V33" s="97" t="n"/>
      <c r="W33" s="97" t="n"/>
      <c r="X33" s="97" t="n"/>
      <c r="Y33" s="97" t="n"/>
      <c r="Z33" s="97" t="n"/>
      <c r="AA33" s="97" t="n"/>
      <c r="AB33" s="97" t="n"/>
      <c r="AC33" s="97" t="n"/>
      <c r="AD33" s="97" t="n"/>
      <c r="AE33" s="97" t="n"/>
      <c r="AF33" s="97" t="n"/>
      <c r="AG33" s="97" t="n"/>
      <c r="AH33" s="97" t="n"/>
      <c r="AI33" s="97" t="n"/>
      <c r="AJ33" s="97" t="n"/>
      <c r="AK33" s="97" t="n"/>
      <c r="AL33" s="97" t="n"/>
      <c r="AM33" s="97" t="n"/>
      <c r="AN33" s="97" t="n"/>
      <c r="AO33" s="97" t="n"/>
      <c r="AP33" s="97" t="n"/>
      <c r="AQ33" s="97" t="n"/>
      <c r="AR33" s="97" t="n"/>
      <c r="AS33" s="97" t="n"/>
      <c r="AT33" s="97" t="n"/>
      <c r="AU33" s="97" t="n"/>
      <c r="AV33" s="97" t="n"/>
      <c r="AW33" s="97" t="n"/>
      <c r="AX33" s="97" t="n"/>
      <c r="AY33" s="97" t="n"/>
      <c r="AZ33" s="97" t="n"/>
      <c r="BA33" s="97" t="n"/>
      <c r="BB33" s="97" t="n"/>
    </row>
    <row r="34" ht="22" customHeight="1" s="110">
      <c r="A34" s="96" t="n"/>
      <c r="B34" s="96" t="n"/>
      <c r="C34" s="96" t="n"/>
      <c r="D34" s="96" t="n"/>
      <c r="E34" s="96" t="n"/>
      <c r="F34" s="96" t="n"/>
      <c r="G34" s="96" t="n"/>
      <c r="H34" s="96" t="n"/>
      <c r="I34" s="96" t="n"/>
      <c r="J34" s="96" t="n"/>
      <c r="L34" s="96" t="n"/>
      <c r="M34" s="96" t="n"/>
      <c r="N34" s="96" t="n"/>
      <c r="O34" s="96" t="n"/>
      <c r="Q34" s="96" t="n"/>
      <c r="R34" s="96" t="n"/>
      <c r="S34" s="96" t="n"/>
      <c r="T34" s="96" t="n"/>
      <c r="U34" s="96" t="n"/>
      <c r="V34" s="96" t="n"/>
      <c r="W34" s="96" t="n"/>
      <c r="X34" s="96" t="n"/>
      <c r="Y34" s="96" t="n"/>
      <c r="Z34" s="96" t="n"/>
      <c r="AA34" s="96" t="n"/>
      <c r="AB34" s="96" t="n"/>
      <c r="AC34" s="96" t="n"/>
      <c r="AD34" s="96" t="n"/>
      <c r="AE34" s="96" t="n"/>
      <c r="AF34" s="96" t="n"/>
      <c r="AG34" s="96" t="n"/>
      <c r="AH34" s="96" t="n"/>
      <c r="AI34" s="96" t="n"/>
      <c r="AJ34" s="96" t="n"/>
      <c r="AK34" s="96" t="n"/>
      <c r="AL34" s="96" t="n"/>
      <c r="AM34" s="96" t="n"/>
      <c r="AN34" s="96" t="n"/>
      <c r="AO34" s="96" t="n"/>
      <c r="AP34" s="96" t="n"/>
      <c r="AQ34" s="96" t="n"/>
      <c r="AR34" s="96" t="n"/>
      <c r="AS34" s="96" t="n"/>
      <c r="AT34" s="96" t="n"/>
      <c r="AU34" s="96" t="n"/>
      <c r="AV34" s="96" t="n"/>
      <c r="AW34" s="96" t="n"/>
      <c r="AX34" s="96" t="n"/>
      <c r="AY34" s="96" t="n"/>
      <c r="AZ34" s="96" t="n"/>
      <c r="BA34" s="96" t="n"/>
      <c r="BB34" s="96" t="n"/>
    </row>
    <row r="35" ht="22" customHeight="1" s="110">
      <c r="A35" s="97" t="n"/>
      <c r="B35" s="97" t="n"/>
      <c r="C35" s="97" t="n"/>
      <c r="D35" s="97" t="n"/>
      <c r="E35" s="97" t="n"/>
      <c r="F35" s="97" t="n"/>
      <c r="G35" s="97" t="n"/>
      <c r="H35" s="97" t="n"/>
      <c r="I35" s="97" t="n"/>
      <c r="J35" s="97" t="n"/>
      <c r="L35" s="97" t="n"/>
      <c r="M35" s="97" t="n"/>
      <c r="N35" s="97" t="n"/>
      <c r="O35" s="97" t="n"/>
      <c r="Q35" s="97" t="n"/>
      <c r="R35" s="97" t="n"/>
      <c r="S35" s="97" t="n"/>
      <c r="T35" s="97" t="n"/>
      <c r="U35" s="97" t="n"/>
      <c r="V35" s="97" t="n"/>
      <c r="W35" s="97" t="n"/>
      <c r="X35" s="97" t="n"/>
      <c r="Y35" s="97" t="n"/>
      <c r="Z35" s="97" t="n"/>
      <c r="AA35" s="97" t="n"/>
      <c r="AB35" s="97" t="n"/>
      <c r="AC35" s="97" t="n"/>
      <c r="AD35" s="97" t="n"/>
      <c r="AE35" s="97" t="n"/>
      <c r="AF35" s="97" t="n"/>
      <c r="AG35" s="97" t="n"/>
      <c r="AH35" s="97" t="n"/>
      <c r="AI35" s="97" t="n"/>
      <c r="AJ35" s="97" t="n"/>
      <c r="AK35" s="97" t="n"/>
      <c r="AL35" s="97" t="n"/>
      <c r="AM35" s="97" t="n"/>
      <c r="AN35" s="97" t="n"/>
      <c r="AO35" s="97" t="n"/>
      <c r="AP35" s="97" t="n"/>
      <c r="AQ35" s="97" t="n"/>
      <c r="AR35" s="97" t="n"/>
      <c r="AS35" s="97" t="n"/>
      <c r="AT35" s="97" t="n"/>
      <c r="AU35" s="97" t="n"/>
      <c r="AV35" s="97" t="n"/>
      <c r="AW35" s="97" t="n"/>
      <c r="AX35" s="97" t="n"/>
      <c r="AY35" s="97" t="n"/>
      <c r="AZ35" s="97" t="n"/>
      <c r="BA35" s="97" t="n"/>
      <c r="BB35" s="97" t="n"/>
    </row>
    <row r="36" ht="22" customHeight="1" s="110">
      <c r="A36" s="96" t="n"/>
      <c r="B36" s="96" t="n"/>
      <c r="C36" s="96" t="n"/>
      <c r="D36" s="96" t="n"/>
      <c r="E36" s="96" t="n"/>
      <c r="F36" s="96" t="n"/>
      <c r="G36" s="96" t="n"/>
      <c r="H36" s="96" t="n"/>
      <c r="I36" s="96" t="n"/>
      <c r="J36" s="96" t="n"/>
      <c r="L36" s="96" t="n"/>
      <c r="M36" s="96" t="n"/>
      <c r="N36" s="96" t="n"/>
      <c r="O36" s="96" t="n"/>
      <c r="Q36" s="96" t="n"/>
      <c r="R36" s="96" t="n"/>
      <c r="S36" s="96" t="n"/>
      <c r="T36" s="96" t="n"/>
      <c r="U36" s="96" t="n"/>
      <c r="V36" s="96" t="n"/>
      <c r="W36" s="96" t="n"/>
      <c r="X36" s="96" t="n"/>
      <c r="Y36" s="96" t="n"/>
      <c r="Z36" s="96" t="n"/>
      <c r="AA36" s="96" t="n"/>
      <c r="AB36" s="96" t="n"/>
      <c r="AC36" s="96" t="n"/>
      <c r="AD36" s="96" t="n"/>
      <c r="AE36" s="96" t="n"/>
      <c r="AF36" s="96" t="n"/>
      <c r="AG36" s="96" t="n"/>
      <c r="AH36" s="96" t="n"/>
      <c r="AI36" s="96" t="n"/>
      <c r="AJ36" s="96" t="n"/>
      <c r="AK36" s="96" t="n"/>
      <c r="AL36" s="96" t="n"/>
      <c r="AM36" s="96" t="n"/>
      <c r="AN36" s="96" t="n"/>
      <c r="AO36" s="96" t="n"/>
      <c r="AP36" s="96" t="n"/>
      <c r="AQ36" s="96" t="n"/>
      <c r="AR36" s="96" t="n"/>
      <c r="AS36" s="96" t="n"/>
      <c r="AT36" s="96" t="n"/>
      <c r="AU36" s="96" t="n"/>
      <c r="AV36" s="96" t="n"/>
      <c r="AW36" s="96" t="n"/>
      <c r="AX36" s="96" t="n"/>
      <c r="AY36" s="96" t="n"/>
      <c r="AZ36" s="96" t="n"/>
      <c r="BA36" s="96" t="n"/>
      <c r="BB36" s="96" t="n"/>
    </row>
    <row r="37" ht="22" customHeight="1" s="110">
      <c r="A37" s="97" t="n"/>
      <c r="B37" s="97" t="n"/>
      <c r="C37" s="97" t="n"/>
      <c r="D37" s="97" t="n"/>
      <c r="E37" s="97" t="n"/>
      <c r="F37" s="97" t="n"/>
      <c r="G37" s="97" t="n"/>
      <c r="H37" s="97" t="n"/>
      <c r="I37" s="97" t="n"/>
      <c r="J37" s="97" t="n"/>
      <c r="L37" s="97" t="n"/>
      <c r="M37" s="97" t="n"/>
      <c r="N37" s="97" t="n"/>
      <c r="O37" s="97" t="n"/>
      <c r="Q37" s="97" t="n"/>
      <c r="R37" s="97" t="n"/>
      <c r="S37" s="97" t="n"/>
      <c r="T37" s="97" t="n"/>
      <c r="U37" s="97" t="n"/>
      <c r="V37" s="97" t="n"/>
      <c r="W37" s="97" t="n"/>
      <c r="X37" s="97" t="n"/>
      <c r="Y37" s="97" t="n"/>
      <c r="Z37" s="97" t="n"/>
      <c r="AA37" s="97" t="n"/>
      <c r="AB37" s="97" t="n"/>
      <c r="AC37" s="97" t="n"/>
      <c r="AD37" s="97" t="n"/>
      <c r="AE37" s="97" t="n"/>
      <c r="AF37" s="97" t="n"/>
      <c r="AG37" s="97" t="n"/>
      <c r="AH37" s="97" t="n"/>
      <c r="AI37" s="97" t="n"/>
      <c r="AJ37" s="97" t="n"/>
      <c r="AK37" s="97" t="n"/>
      <c r="AL37" s="97" t="n"/>
      <c r="AM37" s="97" t="n"/>
      <c r="AN37" s="97" t="n"/>
      <c r="AO37" s="97" t="n"/>
      <c r="AP37" s="97" t="n"/>
      <c r="AQ37" s="97" t="n"/>
      <c r="AR37" s="97" t="n"/>
      <c r="AS37" s="97" t="n"/>
      <c r="AT37" s="97" t="n"/>
      <c r="AU37" s="97" t="n"/>
      <c r="AV37" s="97" t="n"/>
      <c r="AW37" s="97" t="n"/>
      <c r="AX37" s="97" t="n"/>
      <c r="AY37" s="97" t="n"/>
      <c r="AZ37" s="97" t="n"/>
      <c r="BA37" s="97" t="n"/>
      <c r="BB37" s="97" t="n"/>
    </row>
    <row r="38" ht="22" customHeight="1" s="110">
      <c r="A38" s="96" t="n"/>
      <c r="B38" s="96" t="n"/>
      <c r="C38" s="96" t="n"/>
      <c r="D38" s="96" t="n"/>
      <c r="E38" s="96" t="n"/>
      <c r="F38" s="96" t="n"/>
      <c r="G38" s="96" t="n"/>
      <c r="H38" s="96" t="n"/>
      <c r="I38" s="96" t="n"/>
      <c r="J38" s="96" t="n"/>
      <c r="L38" s="96" t="n"/>
      <c r="M38" s="96" t="n"/>
      <c r="N38" s="96" t="n"/>
      <c r="O38" s="96" t="n"/>
      <c r="Q38" s="96" t="n"/>
      <c r="R38" s="96" t="n"/>
      <c r="S38" s="96" t="n"/>
      <c r="T38" s="96" t="n"/>
      <c r="U38" s="96" t="n"/>
      <c r="V38" s="96" t="n"/>
      <c r="W38" s="96" t="n"/>
      <c r="X38" s="96" t="n"/>
      <c r="Y38" s="96" t="n"/>
      <c r="Z38" s="96" t="n"/>
      <c r="AA38" s="96" t="n"/>
      <c r="AB38" s="96" t="n"/>
      <c r="AC38" s="96" t="n"/>
      <c r="AD38" s="96" t="n"/>
      <c r="AE38" s="96" t="n"/>
      <c r="AF38" s="96" t="n"/>
      <c r="AG38" s="96" t="n"/>
      <c r="AH38" s="96" t="n"/>
      <c r="AI38" s="96" t="n"/>
      <c r="AJ38" s="96" t="n"/>
      <c r="AK38" s="96" t="n"/>
      <c r="AL38" s="96" t="n"/>
      <c r="AM38" s="96" t="n"/>
      <c r="AN38" s="96" t="n"/>
      <c r="AO38" s="96" t="n"/>
      <c r="AP38" s="96" t="n"/>
      <c r="AQ38" s="96" t="n"/>
      <c r="AR38" s="96" t="n"/>
      <c r="AS38" s="96" t="n"/>
      <c r="AT38" s="96" t="n"/>
      <c r="AU38" s="96" t="n"/>
      <c r="AV38" s="96" t="n"/>
      <c r="AW38" s="96" t="n"/>
      <c r="AX38" s="96" t="n"/>
      <c r="AY38" s="96" t="n"/>
      <c r="AZ38" s="96" t="n"/>
      <c r="BA38" s="96" t="n"/>
      <c r="BB38" s="96" t="n"/>
    </row>
    <row r="39" ht="22" customHeight="1" s="110">
      <c r="A39" s="97" t="n"/>
      <c r="B39" s="97" t="n"/>
      <c r="C39" s="97" t="n"/>
      <c r="D39" s="97" t="n"/>
      <c r="E39" s="97" t="n"/>
      <c r="F39" s="97" t="n"/>
      <c r="G39" s="97" t="n"/>
      <c r="H39" s="97" t="n"/>
      <c r="I39" s="97" t="n"/>
      <c r="J39" s="97" t="n"/>
      <c r="L39" s="97" t="n"/>
      <c r="M39" s="97" t="n"/>
      <c r="N39" s="97" t="n"/>
      <c r="O39" s="97" t="n"/>
      <c r="Q39" s="97" t="n"/>
      <c r="R39" s="97" t="n"/>
      <c r="S39" s="97" t="n"/>
      <c r="T39" s="97" t="n"/>
      <c r="U39" s="97" t="n"/>
      <c r="V39" s="97" t="n"/>
      <c r="W39" s="97" t="n"/>
      <c r="X39" s="97" t="n"/>
      <c r="Y39" s="97" t="n"/>
      <c r="Z39" s="97" t="n"/>
      <c r="AA39" s="97" t="n"/>
      <c r="AB39" s="97" t="n"/>
      <c r="AC39" s="97" t="n"/>
      <c r="AD39" s="97" t="n"/>
      <c r="AE39" s="97" t="n"/>
      <c r="AF39" s="97" t="n"/>
      <c r="AG39" s="97" t="n"/>
      <c r="AH39" s="97" t="n"/>
      <c r="AI39" s="97" t="n"/>
      <c r="AJ39" s="97" t="n"/>
      <c r="AK39" s="97" t="n"/>
      <c r="AL39" s="97" t="n"/>
      <c r="AM39" s="97" t="n"/>
      <c r="AN39" s="97" t="n"/>
      <c r="AO39" s="97" t="n"/>
      <c r="AP39" s="97" t="n"/>
      <c r="AQ39" s="97" t="n"/>
      <c r="AR39" s="97" t="n"/>
      <c r="AS39" s="97" t="n"/>
      <c r="AT39" s="97" t="n"/>
      <c r="AU39" s="97" t="n"/>
      <c r="AV39" s="97" t="n"/>
      <c r="AW39" s="97" t="n"/>
      <c r="AX39" s="97" t="n"/>
      <c r="AY39" s="97" t="n"/>
      <c r="AZ39" s="97" t="n"/>
      <c r="BA39" s="97" t="n"/>
      <c r="BB39" s="97" t="n"/>
    </row>
    <row r="40" ht="22" customHeight="1" s="110">
      <c r="A40" s="96" t="n"/>
      <c r="B40" s="96" t="n"/>
      <c r="C40" s="96" t="n"/>
      <c r="D40" s="96" t="n"/>
      <c r="E40" s="96" t="n"/>
      <c r="F40" s="96" t="n"/>
      <c r="G40" s="96" t="n"/>
      <c r="H40" s="96" t="n"/>
      <c r="I40" s="96" t="n"/>
      <c r="J40" s="96" t="n"/>
      <c r="L40" s="96" t="n"/>
      <c r="M40" s="96" t="n"/>
      <c r="N40" s="96" t="n"/>
      <c r="O40" s="96" t="n"/>
      <c r="Q40" s="96" t="n"/>
      <c r="R40" s="96" t="n"/>
      <c r="S40" s="96" t="n"/>
      <c r="T40" s="96" t="n"/>
      <c r="U40" s="96" t="n"/>
      <c r="V40" s="96" t="n"/>
      <c r="W40" s="96" t="n"/>
      <c r="X40" s="96" t="n"/>
      <c r="Y40" s="96" t="n"/>
      <c r="Z40" s="96" t="n"/>
      <c r="AA40" s="96" t="n"/>
      <c r="AB40" s="96" t="n"/>
      <c r="AC40" s="96" t="n"/>
      <c r="AD40" s="96" t="n"/>
      <c r="AE40" s="96" t="n"/>
      <c r="AF40" s="96" t="n"/>
      <c r="AG40" s="96" t="n"/>
      <c r="AH40" s="96" t="n"/>
      <c r="AI40" s="96" t="n"/>
      <c r="AJ40" s="96" t="n"/>
      <c r="AK40" s="96" t="n"/>
      <c r="AL40" s="96" t="n"/>
      <c r="AM40" s="96" t="n"/>
      <c r="AN40" s="96" t="n"/>
      <c r="AO40" s="96" t="n"/>
      <c r="AP40" s="96" t="n"/>
      <c r="AQ40" s="96" t="n"/>
      <c r="AR40" s="96" t="n"/>
      <c r="AS40" s="96" t="n"/>
      <c r="AT40" s="96" t="n"/>
      <c r="AU40" s="96" t="n"/>
      <c r="AV40" s="96" t="n"/>
      <c r="AW40" s="96" t="n"/>
      <c r="AX40" s="96" t="n"/>
      <c r="AY40" s="96" t="n"/>
      <c r="AZ40" s="96" t="n"/>
      <c r="BA40" s="96" t="n"/>
      <c r="BB40" s="96" t="n"/>
    </row>
    <row r="41" ht="22" customHeight="1" s="110">
      <c r="A41" s="97" t="n"/>
      <c r="B41" s="97" t="n"/>
      <c r="C41" s="97" t="n"/>
      <c r="D41" s="97" t="n"/>
      <c r="E41" s="97" t="n"/>
      <c r="F41" s="97" t="n"/>
      <c r="G41" s="97" t="n"/>
      <c r="H41" s="97" t="n"/>
      <c r="I41" s="97" t="n"/>
      <c r="J41" s="97" t="n"/>
      <c r="L41" s="97" t="n"/>
      <c r="M41" s="97" t="n"/>
      <c r="N41" s="97" t="n"/>
      <c r="O41" s="97" t="n"/>
      <c r="Q41" s="97" t="n"/>
      <c r="R41" s="97" t="n"/>
      <c r="S41" s="97" t="n"/>
      <c r="T41" s="97" t="n"/>
      <c r="U41" s="97" t="n"/>
      <c r="V41" s="97" t="n"/>
      <c r="W41" s="97" t="n"/>
      <c r="X41" s="97" t="n"/>
      <c r="Y41" s="97" t="n"/>
      <c r="Z41" s="97" t="n"/>
      <c r="AA41" s="97" t="n"/>
      <c r="AB41" s="97" t="n"/>
      <c r="AC41" s="97" t="n"/>
      <c r="AD41" s="97" t="n"/>
      <c r="AE41" s="97" t="n"/>
      <c r="AF41" s="97" t="n"/>
      <c r="AG41" s="97" t="n"/>
      <c r="AH41" s="97" t="n"/>
      <c r="AI41" s="97" t="n"/>
      <c r="AJ41" s="97" t="n"/>
      <c r="AK41" s="97" t="n"/>
      <c r="AL41" s="97" t="n"/>
      <c r="AM41" s="97" t="n"/>
      <c r="AN41" s="97" t="n"/>
      <c r="AO41" s="97" t="n"/>
      <c r="AP41" s="97" t="n"/>
      <c r="AQ41" s="97" t="n"/>
      <c r="AR41" s="97" t="n"/>
      <c r="AS41" s="97" t="n"/>
      <c r="AT41" s="97" t="n"/>
      <c r="AU41" s="97" t="n"/>
      <c r="AV41" s="97" t="n"/>
      <c r="AW41" s="97" t="n"/>
      <c r="AX41" s="97" t="n"/>
      <c r="AY41" s="97" t="n"/>
      <c r="AZ41" s="97" t="n"/>
      <c r="BA41" s="97" t="n"/>
      <c r="BB41" s="97" t="n"/>
    </row>
    <row r="42" ht="22" customHeight="1" s="110">
      <c r="A42" s="96" t="n"/>
      <c r="B42" s="96" t="n"/>
      <c r="C42" s="96" t="n"/>
      <c r="D42" s="96" t="n"/>
      <c r="E42" s="96" t="n"/>
      <c r="F42" s="96" t="n"/>
      <c r="G42" s="96" t="n"/>
      <c r="H42" s="96" t="n"/>
      <c r="I42" s="96" t="n"/>
      <c r="J42" s="96" t="n"/>
      <c r="L42" s="96" t="n"/>
      <c r="M42" s="96" t="n"/>
      <c r="N42" s="96" t="n"/>
      <c r="O42" s="96" t="n"/>
      <c r="Q42" s="96" t="n"/>
      <c r="R42" s="96" t="n"/>
      <c r="S42" s="96" t="n"/>
      <c r="T42" s="96" t="n"/>
      <c r="U42" s="96" t="n"/>
      <c r="V42" s="96" t="n"/>
      <c r="W42" s="96" t="n"/>
      <c r="X42" s="96" t="n"/>
      <c r="Y42" s="96" t="n"/>
      <c r="Z42" s="96" t="n"/>
      <c r="AA42" s="96" t="n"/>
      <c r="AB42" s="96" t="n"/>
      <c r="AC42" s="96" t="n"/>
      <c r="AD42" s="96" t="n"/>
      <c r="AE42" s="96" t="n"/>
      <c r="AF42" s="96" t="n"/>
      <c r="AG42" s="96" t="n"/>
      <c r="AH42" s="96" t="n"/>
      <c r="AI42" s="96" t="n"/>
      <c r="AJ42" s="96" t="n"/>
      <c r="AK42" s="96" t="n"/>
      <c r="AL42" s="96" t="n"/>
      <c r="AM42" s="96" t="n"/>
      <c r="AN42" s="96" t="n"/>
      <c r="AO42" s="96" t="n"/>
      <c r="AP42" s="96" t="n"/>
      <c r="AQ42" s="96" t="n"/>
      <c r="AR42" s="96" t="n"/>
      <c r="AS42" s="96" t="n"/>
      <c r="AT42" s="96" t="n"/>
      <c r="AU42" s="96" t="n"/>
      <c r="AV42" s="96" t="n"/>
      <c r="AW42" s="96" t="n"/>
      <c r="AX42" s="96" t="n"/>
      <c r="AY42" s="96" t="n"/>
      <c r="AZ42" s="96" t="n"/>
      <c r="BA42" s="96" t="n"/>
      <c r="BB42" s="96" t="n"/>
    </row>
    <row r="43" ht="22" customHeight="1" s="110">
      <c r="A43" s="97" t="n"/>
      <c r="B43" s="97" t="n"/>
      <c r="C43" s="97" t="n"/>
      <c r="D43" s="97" t="n"/>
      <c r="E43" s="97" t="n"/>
      <c r="F43" s="97" t="n"/>
      <c r="G43" s="97" t="n"/>
      <c r="H43" s="97" t="n"/>
      <c r="I43" s="97" t="n"/>
      <c r="J43" s="97" t="n"/>
      <c r="L43" s="97" t="n"/>
      <c r="M43" s="97" t="n"/>
      <c r="N43" s="97" t="n"/>
      <c r="O43" s="97" t="n"/>
      <c r="Q43" s="97" t="n"/>
      <c r="R43" s="97" t="n"/>
      <c r="S43" s="97" t="n"/>
      <c r="T43" s="97" t="n"/>
      <c r="U43" s="97" t="n"/>
      <c r="V43" s="97" t="n"/>
      <c r="W43" s="97" t="n"/>
      <c r="X43" s="97" t="n"/>
      <c r="Y43" s="97" t="n"/>
      <c r="Z43" s="97" t="n"/>
      <c r="AA43" s="97" t="n"/>
      <c r="AB43" s="97" t="n"/>
      <c r="AC43" s="97" t="n"/>
      <c r="AD43" s="97" t="n"/>
      <c r="AE43" s="97" t="n"/>
      <c r="AF43" s="97" t="n"/>
      <c r="AG43" s="97" t="n"/>
      <c r="AH43" s="97" t="n"/>
      <c r="AI43" s="97" t="n"/>
      <c r="AJ43" s="97" t="n"/>
      <c r="AK43" s="97" t="n"/>
      <c r="AL43" s="97" t="n"/>
      <c r="AM43" s="97" t="n"/>
      <c r="AN43" s="97" t="n"/>
      <c r="AO43" s="97" t="n"/>
      <c r="AP43" s="97" t="n"/>
      <c r="AQ43" s="97" t="n"/>
      <c r="AR43" s="97" t="n"/>
      <c r="AS43" s="97" t="n"/>
      <c r="AT43" s="97" t="n"/>
      <c r="AU43" s="97" t="n"/>
      <c r="AV43" s="97" t="n"/>
      <c r="AW43" s="97" t="n"/>
      <c r="AX43" s="97" t="n"/>
      <c r="AY43" s="97" t="n"/>
      <c r="AZ43" s="97" t="n"/>
      <c r="BA43" s="97" t="n"/>
      <c r="BB43" s="97" t="n"/>
    </row>
    <row r="44" ht="22" customHeight="1" s="110">
      <c r="A44" s="96" t="n"/>
      <c r="B44" s="96" t="n"/>
      <c r="C44" s="96" t="n"/>
      <c r="D44" s="96" t="n"/>
      <c r="E44" s="96" t="n"/>
      <c r="F44" s="96" t="n"/>
      <c r="G44" s="96" t="n"/>
      <c r="H44" s="96" t="n"/>
      <c r="I44" s="96" t="n"/>
      <c r="J44" s="96" t="n"/>
      <c r="L44" s="96" t="n"/>
      <c r="M44" s="96" t="n"/>
      <c r="N44" s="96" t="n"/>
      <c r="O44" s="96" t="n"/>
      <c r="Q44" s="96" t="n"/>
      <c r="R44" s="96" t="n"/>
      <c r="S44" s="96" t="n"/>
      <c r="T44" s="96" t="n"/>
      <c r="U44" s="96" t="n"/>
      <c r="V44" s="96" t="n"/>
      <c r="W44" s="96" t="n"/>
      <c r="X44" s="96" t="n"/>
      <c r="Y44" s="96" t="n"/>
      <c r="Z44" s="96" t="n"/>
      <c r="AA44" s="96" t="n"/>
      <c r="AB44" s="96" t="n"/>
      <c r="AC44" s="96" t="n"/>
      <c r="AD44" s="96" t="n"/>
      <c r="AE44" s="96" t="n"/>
      <c r="AF44" s="96" t="n"/>
      <c r="AG44" s="96" t="n"/>
      <c r="AH44" s="96" t="n"/>
      <c r="AI44" s="96" t="n"/>
      <c r="AJ44" s="96" t="n"/>
      <c r="AK44" s="96" t="n"/>
      <c r="AL44" s="96" t="n"/>
      <c r="AM44" s="96" t="n"/>
      <c r="AN44" s="96" t="n"/>
      <c r="AO44" s="96" t="n"/>
      <c r="AP44" s="96" t="n"/>
      <c r="AQ44" s="96" t="n"/>
      <c r="AR44" s="96" t="n"/>
      <c r="AS44" s="96" t="n"/>
      <c r="AT44" s="96" t="n"/>
      <c r="AU44" s="96" t="n"/>
      <c r="AV44" s="96" t="n"/>
      <c r="AW44" s="96" t="n"/>
      <c r="AX44" s="96" t="n"/>
      <c r="AY44" s="96" t="n"/>
      <c r="AZ44" s="96" t="n"/>
      <c r="BA44" s="96" t="n"/>
      <c r="BB44" s="96" t="n"/>
    </row>
    <row r="45" ht="22" customHeight="1" s="110">
      <c r="A45" s="97" t="n"/>
      <c r="B45" s="97" t="n"/>
      <c r="C45" s="97" t="n"/>
      <c r="D45" s="97" t="n"/>
      <c r="E45" s="97" t="n"/>
      <c r="F45" s="97" t="n"/>
      <c r="G45" s="97" t="n"/>
      <c r="H45" s="97" t="n"/>
      <c r="I45" s="97" t="n"/>
      <c r="J45" s="97" t="n"/>
      <c r="L45" s="97" t="n"/>
      <c r="M45" s="97" t="n"/>
      <c r="N45" s="97" t="n"/>
      <c r="O45" s="97" t="n"/>
      <c r="Q45" s="97" t="n"/>
      <c r="R45" s="97" t="n"/>
      <c r="S45" s="97" t="n"/>
      <c r="T45" s="97" t="n"/>
      <c r="U45" s="97" t="n"/>
      <c r="V45" s="97" t="n"/>
      <c r="W45" s="97" t="n"/>
      <c r="X45" s="97" t="n"/>
      <c r="Y45" s="97" t="n"/>
      <c r="Z45" s="97" t="n"/>
      <c r="AA45" s="97" t="n"/>
      <c r="AB45" s="97" t="n"/>
      <c r="AC45" s="97" t="n"/>
      <c r="AD45" s="97" t="n"/>
      <c r="AE45" s="97" t="n"/>
      <c r="AF45" s="97" t="n"/>
      <c r="AG45" s="97" t="n"/>
      <c r="AH45" s="97" t="n"/>
      <c r="AI45" s="97" t="n"/>
      <c r="AJ45" s="97" t="n"/>
      <c r="AK45" s="97" t="n"/>
      <c r="AL45" s="97" t="n"/>
      <c r="AM45" s="97" t="n"/>
      <c r="AN45" s="97" t="n"/>
      <c r="AO45" s="97" t="n"/>
      <c r="AP45" s="97" t="n"/>
      <c r="AQ45" s="97" t="n"/>
      <c r="AR45" s="97" t="n"/>
      <c r="AS45" s="97" t="n"/>
      <c r="AT45" s="97" t="n"/>
      <c r="AU45" s="97" t="n"/>
      <c r="AV45" s="97" t="n"/>
      <c r="AW45" s="97" t="n"/>
      <c r="AX45" s="97" t="n"/>
      <c r="AY45" s="97" t="n"/>
      <c r="AZ45" s="97" t="n"/>
      <c r="BA45" s="97" t="n"/>
      <c r="BB45" s="97" t="n"/>
    </row>
    <row r="46" ht="22" customHeight="1" s="110">
      <c r="A46" s="96" t="n"/>
      <c r="B46" s="96" t="n"/>
      <c r="C46" s="96" t="n"/>
      <c r="D46" s="96" t="n"/>
      <c r="E46" s="96" t="n"/>
      <c r="F46" s="96" t="n"/>
      <c r="G46" s="96" t="n"/>
      <c r="H46" s="96" t="n"/>
      <c r="I46" s="96" t="n"/>
      <c r="J46" s="96" t="n"/>
      <c r="L46" s="96" t="n"/>
      <c r="M46" s="96" t="n"/>
      <c r="N46" s="96" t="n"/>
      <c r="O46" s="96" t="n"/>
      <c r="Q46" s="96" t="n"/>
      <c r="R46" s="96" t="n"/>
      <c r="S46" s="96" t="n"/>
      <c r="T46" s="96" t="n"/>
      <c r="U46" s="96" t="n"/>
      <c r="V46" s="96" t="n"/>
      <c r="W46" s="96" t="n"/>
      <c r="X46" s="96" t="n"/>
      <c r="Y46" s="96" t="n"/>
      <c r="Z46" s="96" t="n"/>
      <c r="AA46" s="96" t="n"/>
      <c r="AB46" s="96" t="n"/>
      <c r="AC46" s="96" t="n"/>
      <c r="AD46" s="96" t="n"/>
      <c r="AE46" s="96" t="n"/>
      <c r="AF46" s="96" t="n"/>
      <c r="AG46" s="96" t="n"/>
      <c r="AH46" s="96" t="n"/>
      <c r="AI46" s="96" t="n"/>
      <c r="AJ46" s="96" t="n"/>
      <c r="AK46" s="96" t="n"/>
      <c r="AL46" s="96" t="n"/>
      <c r="AM46" s="96" t="n"/>
      <c r="AN46" s="96" t="n"/>
      <c r="AO46" s="96" t="n"/>
      <c r="AP46" s="96" t="n"/>
      <c r="AQ46" s="96" t="n"/>
      <c r="AR46" s="96" t="n"/>
      <c r="AS46" s="96" t="n"/>
      <c r="AT46" s="96" t="n"/>
      <c r="AU46" s="96" t="n"/>
      <c r="AV46" s="96" t="n"/>
      <c r="AW46" s="96" t="n"/>
      <c r="AX46" s="96" t="n"/>
      <c r="AY46" s="96" t="n"/>
      <c r="AZ46" s="96" t="n"/>
      <c r="BA46" s="96" t="n"/>
      <c r="BB46" s="96" t="n"/>
    </row>
    <row r="47" ht="22" customHeight="1" s="110">
      <c r="A47" s="97" t="n"/>
      <c r="B47" s="97" t="n"/>
      <c r="C47" s="97" t="n"/>
      <c r="D47" s="97" t="n"/>
      <c r="E47" s="97" t="n"/>
      <c r="F47" s="97" t="n"/>
      <c r="G47" s="97" t="n"/>
      <c r="H47" s="97" t="n"/>
      <c r="I47" s="97" t="n"/>
      <c r="J47" s="97" t="n"/>
      <c r="L47" s="97" t="n"/>
      <c r="M47" s="97" t="n"/>
      <c r="N47" s="97" t="n"/>
      <c r="O47" s="97" t="n"/>
      <c r="Q47" s="97" t="n"/>
      <c r="R47" s="97" t="n"/>
      <c r="S47" s="97" t="n"/>
      <c r="T47" s="97" t="n"/>
      <c r="U47" s="97" t="n"/>
      <c r="V47" s="97" t="n"/>
      <c r="W47" s="97" t="n"/>
      <c r="X47" s="97" t="n"/>
      <c r="Y47" s="97" t="n"/>
      <c r="Z47" s="97" t="n"/>
      <c r="AA47" s="97" t="n"/>
      <c r="AB47" s="97" t="n"/>
      <c r="AC47" s="97" t="n"/>
      <c r="AD47" s="97" t="n"/>
      <c r="AE47" s="97" t="n"/>
      <c r="AF47" s="97" t="n"/>
      <c r="AG47" s="97" t="n"/>
      <c r="AH47" s="97" t="n"/>
      <c r="AI47" s="97" t="n"/>
      <c r="AJ47" s="97" t="n"/>
      <c r="AK47" s="97" t="n"/>
      <c r="AL47" s="97" t="n"/>
      <c r="AM47" s="97" t="n"/>
      <c r="AN47" s="97" t="n"/>
      <c r="AO47" s="97" t="n"/>
      <c r="AP47" s="97" t="n"/>
      <c r="AQ47" s="97" t="n"/>
      <c r="AR47" s="97" t="n"/>
      <c r="AS47" s="97" t="n"/>
      <c r="AT47" s="97" t="n"/>
      <c r="AU47" s="97" t="n"/>
      <c r="AV47" s="97" t="n"/>
      <c r="AW47" s="97" t="n"/>
      <c r="AX47" s="97" t="n"/>
      <c r="AY47" s="97" t="n"/>
      <c r="AZ47" s="97" t="n"/>
      <c r="BA47" s="97" t="n"/>
      <c r="BB47" s="97" t="n"/>
    </row>
    <row r="48" ht="22" customHeight="1" s="110">
      <c r="A48" s="96" t="n"/>
      <c r="B48" s="96" t="n"/>
      <c r="C48" s="96" t="n"/>
      <c r="D48" s="96" t="n"/>
      <c r="E48" s="96" t="n"/>
      <c r="F48" s="96" t="n"/>
      <c r="G48" s="96" t="n"/>
      <c r="H48" s="96" t="n"/>
      <c r="I48" s="96" t="n"/>
      <c r="J48" s="96" t="n"/>
      <c r="L48" s="96" t="n"/>
      <c r="M48" s="96" t="n"/>
      <c r="N48" s="96" t="n"/>
      <c r="O48" s="96" t="n"/>
      <c r="Q48" s="96" t="n"/>
      <c r="R48" s="96" t="n"/>
      <c r="S48" s="96" t="n"/>
      <c r="T48" s="96" t="n"/>
      <c r="U48" s="96" t="n"/>
      <c r="V48" s="96" t="n"/>
      <c r="W48" s="96" t="n"/>
      <c r="X48" s="96" t="n"/>
      <c r="Y48" s="96" t="n"/>
      <c r="Z48" s="96" t="n"/>
      <c r="AA48" s="96" t="n"/>
      <c r="AB48" s="96" t="n"/>
      <c r="AC48" s="96" t="n"/>
      <c r="AD48" s="96" t="n"/>
      <c r="AE48" s="96" t="n"/>
      <c r="AF48" s="96" t="n"/>
      <c r="AG48" s="96" t="n"/>
      <c r="AH48" s="96" t="n"/>
      <c r="AI48" s="96" t="n"/>
      <c r="AJ48" s="96" t="n"/>
      <c r="AK48" s="96" t="n"/>
      <c r="AL48" s="96" t="n"/>
      <c r="AM48" s="96" t="n"/>
      <c r="AN48" s="96" t="n"/>
      <c r="AO48" s="96" t="n"/>
      <c r="AP48" s="96" t="n"/>
      <c r="AQ48" s="96" t="n"/>
      <c r="AR48" s="96" t="n"/>
      <c r="AS48" s="96" t="n"/>
      <c r="AT48" s="96" t="n"/>
      <c r="AU48" s="96" t="n"/>
      <c r="AV48" s="96" t="n"/>
      <c r="AW48" s="96" t="n"/>
      <c r="AX48" s="96" t="n"/>
      <c r="AY48" s="96" t="n"/>
      <c r="AZ48" s="96" t="n"/>
      <c r="BA48" s="96" t="n"/>
      <c r="BB48" s="96" t="n"/>
    </row>
    <row r="49" ht="22" customHeight="1" s="110">
      <c r="A49" s="97" t="n"/>
      <c r="B49" s="97" t="n"/>
      <c r="C49" s="97" t="n"/>
      <c r="D49" s="97" t="n"/>
      <c r="E49" s="97" t="n"/>
      <c r="F49" s="97" t="n"/>
      <c r="G49" s="97" t="n"/>
      <c r="H49" s="97" t="n"/>
      <c r="I49" s="97" t="n"/>
      <c r="J49" s="97" t="n"/>
      <c r="L49" s="97" t="n"/>
      <c r="M49" s="97" t="n"/>
      <c r="N49" s="97" t="n"/>
      <c r="O49" s="97" t="n"/>
      <c r="Q49" s="97" t="n"/>
      <c r="R49" s="97" t="n"/>
      <c r="S49" s="97" t="n"/>
      <c r="T49" s="97" t="n"/>
      <c r="U49" s="97" t="n"/>
      <c r="V49" s="97" t="n"/>
      <c r="W49" s="97" t="n"/>
      <c r="X49" s="97" t="n"/>
      <c r="Y49" s="97" t="n"/>
      <c r="Z49" s="97" t="n"/>
      <c r="AA49" s="97" t="n"/>
      <c r="AB49" s="97" t="n"/>
      <c r="AC49" s="97" t="n"/>
      <c r="AD49" s="97" t="n"/>
      <c r="AE49" s="97" t="n"/>
      <c r="AF49" s="97" t="n"/>
      <c r="AG49" s="97" t="n"/>
      <c r="AH49" s="97" t="n"/>
      <c r="AI49" s="97" t="n"/>
      <c r="AJ49" s="97" t="n"/>
      <c r="AK49" s="97" t="n"/>
      <c r="AL49" s="97" t="n"/>
      <c r="AM49" s="97" t="n"/>
      <c r="AN49" s="97" t="n"/>
      <c r="AO49" s="97" t="n"/>
      <c r="AP49" s="97" t="n"/>
      <c r="AQ49" s="97" t="n"/>
      <c r="AR49" s="97" t="n"/>
      <c r="AS49" s="97" t="n"/>
      <c r="AT49" s="97" t="n"/>
      <c r="AU49" s="97" t="n"/>
      <c r="AV49" s="97" t="n"/>
      <c r="AW49" s="97" t="n"/>
      <c r="AX49" s="97" t="n"/>
      <c r="AY49" s="97" t="n"/>
      <c r="AZ49" s="97" t="n"/>
      <c r="BA49" s="97" t="n"/>
      <c r="BB49" s="97" t="n"/>
    </row>
    <row r="50" ht="22" customHeight="1" s="110">
      <c r="A50" s="96" t="n"/>
      <c r="B50" s="96" t="n"/>
      <c r="C50" s="96" t="n"/>
      <c r="D50" s="96" t="n"/>
      <c r="E50" s="96" t="n"/>
      <c r="F50" s="96" t="n"/>
      <c r="G50" s="96" t="n"/>
      <c r="H50" s="96" t="n"/>
      <c r="I50" s="96" t="n"/>
      <c r="J50" s="96" t="n"/>
      <c r="L50" s="96" t="n"/>
      <c r="M50" s="96" t="n"/>
      <c r="N50" s="96" t="n"/>
      <c r="O50" s="96" t="n"/>
      <c r="Q50" s="96" t="n"/>
      <c r="R50" s="96" t="n"/>
      <c r="S50" s="96" t="n"/>
      <c r="T50" s="96" t="n"/>
      <c r="U50" s="96" t="n"/>
      <c r="V50" s="96" t="n"/>
      <c r="W50" s="96" t="n"/>
      <c r="X50" s="96" t="n"/>
      <c r="Y50" s="96" t="n"/>
      <c r="Z50" s="96" t="n"/>
      <c r="AA50" s="96" t="n"/>
      <c r="AB50" s="96" t="n"/>
      <c r="AC50" s="96" t="n"/>
      <c r="AD50" s="96" t="n"/>
      <c r="AE50" s="96" t="n"/>
      <c r="AF50" s="96" t="n"/>
      <c r="AG50" s="96" t="n"/>
      <c r="AH50" s="96" t="n"/>
      <c r="AI50" s="96" t="n"/>
      <c r="AJ50" s="96" t="n"/>
      <c r="AK50" s="96" t="n"/>
      <c r="AL50" s="96" t="n"/>
      <c r="AM50" s="96" t="n"/>
      <c r="AN50" s="96" t="n"/>
      <c r="AO50" s="96" t="n"/>
      <c r="AP50" s="96" t="n"/>
      <c r="AQ50" s="96" t="n"/>
      <c r="AR50" s="96" t="n"/>
      <c r="AS50" s="96" t="n"/>
      <c r="AT50" s="96" t="n"/>
      <c r="AU50" s="96" t="n"/>
      <c r="AV50" s="96" t="n"/>
      <c r="AW50" s="96" t="n"/>
      <c r="AX50" s="96" t="n"/>
      <c r="AY50" s="96" t="n"/>
      <c r="AZ50" s="96" t="n"/>
      <c r="BA50" s="96" t="n"/>
      <c r="BB50" s="96" t="n"/>
    </row>
    <row r="51" ht="22" customHeight="1" s="110">
      <c r="A51" s="97" t="n"/>
      <c r="B51" s="97" t="n"/>
      <c r="C51" s="97" t="n"/>
      <c r="D51" s="97" t="n"/>
      <c r="E51" s="97" t="n"/>
      <c r="F51" s="97" t="n"/>
      <c r="G51" s="97" t="n"/>
      <c r="H51" s="97" t="n"/>
      <c r="I51" s="97" t="n"/>
      <c r="J51" s="97" t="n"/>
      <c r="L51" s="97" t="n"/>
      <c r="M51" s="97" t="n"/>
      <c r="N51" s="97" t="n"/>
      <c r="O51" s="97" t="n"/>
      <c r="Q51" s="97" t="n"/>
      <c r="R51" s="97" t="n"/>
      <c r="S51" s="97" t="n"/>
      <c r="T51" s="97" t="n"/>
      <c r="U51" s="97" t="n"/>
      <c r="V51" s="97" t="n"/>
      <c r="W51" s="97" t="n"/>
      <c r="X51" s="97" t="n"/>
      <c r="Y51" s="97" t="n"/>
      <c r="Z51" s="97" t="n"/>
      <c r="AA51" s="97" t="n"/>
      <c r="AB51" s="97" t="n"/>
      <c r="AC51" s="97" t="n"/>
      <c r="AD51" s="97" t="n"/>
      <c r="AE51" s="97" t="n"/>
      <c r="AF51" s="97" t="n"/>
      <c r="AG51" s="97" t="n"/>
      <c r="AH51" s="97" t="n"/>
      <c r="AI51" s="97" t="n"/>
      <c r="AJ51" s="97" t="n"/>
      <c r="AK51" s="97" t="n"/>
      <c r="AL51" s="97" t="n"/>
      <c r="AM51" s="97" t="n"/>
      <c r="AN51" s="97" t="n"/>
      <c r="AO51" s="97" t="n"/>
      <c r="AP51" s="97" t="n"/>
      <c r="AQ51" s="97" t="n"/>
      <c r="AR51" s="97" t="n"/>
      <c r="AS51" s="97" t="n"/>
      <c r="AT51" s="97" t="n"/>
      <c r="AU51" s="97" t="n"/>
      <c r="AV51" s="97" t="n"/>
      <c r="AW51" s="97" t="n"/>
      <c r="AX51" s="97" t="n"/>
      <c r="AY51" s="97" t="n"/>
      <c r="AZ51" s="97" t="n"/>
      <c r="BA51" s="97" t="n"/>
      <c r="BB51" s="97" t="n"/>
    </row>
    <row r="52" ht="22" customHeight="1" s="110">
      <c r="A52" s="96" t="n"/>
      <c r="B52" s="96" t="n"/>
      <c r="C52" s="96" t="n"/>
      <c r="D52" s="96" t="n"/>
      <c r="E52" s="96" t="n"/>
      <c r="F52" s="96" t="n"/>
      <c r="G52" s="96" t="n"/>
      <c r="H52" s="96" t="n"/>
      <c r="I52" s="96" t="n"/>
      <c r="J52" s="96" t="n"/>
      <c r="L52" s="96" t="n"/>
      <c r="M52" s="96" t="n"/>
      <c r="N52" s="96" t="n"/>
      <c r="O52" s="96" t="n"/>
      <c r="Q52" s="96" t="n"/>
      <c r="R52" s="96" t="n"/>
      <c r="S52" s="96" t="n"/>
      <c r="T52" s="96" t="n"/>
      <c r="U52" s="96" t="n"/>
      <c r="V52" s="96" t="n"/>
      <c r="W52" s="96" t="n"/>
      <c r="X52" s="96" t="n"/>
      <c r="Y52" s="96" t="n"/>
      <c r="Z52" s="96" t="n"/>
      <c r="AA52" s="96" t="n"/>
      <c r="AB52" s="96" t="n"/>
      <c r="AC52" s="96" t="n"/>
      <c r="AD52" s="96" t="n"/>
      <c r="AE52" s="96" t="n"/>
      <c r="AF52" s="96" t="n"/>
      <c r="AG52" s="96" t="n"/>
      <c r="AH52" s="96" t="n"/>
      <c r="AI52" s="96" t="n"/>
      <c r="AJ52" s="96" t="n"/>
      <c r="AK52" s="96" t="n"/>
      <c r="AL52" s="96" t="n"/>
      <c r="AM52" s="96" t="n"/>
      <c r="AN52" s="96" t="n"/>
      <c r="AO52" s="96" t="n"/>
      <c r="AP52" s="96" t="n"/>
      <c r="AQ52" s="96" t="n"/>
      <c r="AR52" s="96" t="n"/>
      <c r="AS52" s="96" t="n"/>
      <c r="AT52" s="96" t="n"/>
      <c r="AU52" s="96" t="n"/>
      <c r="AV52" s="96" t="n"/>
      <c r="AW52" s="96" t="n"/>
      <c r="AX52" s="96" t="n"/>
      <c r="AY52" s="96" t="n"/>
      <c r="AZ52" s="96" t="n"/>
      <c r="BA52" s="96" t="n"/>
      <c r="BB52" s="96" t="n"/>
    </row>
    <row r="53" ht="22" customHeight="1" s="110">
      <c r="A53" s="97" t="n"/>
      <c r="B53" s="97" t="n"/>
      <c r="C53" s="97" t="n"/>
      <c r="D53" s="97" t="n"/>
      <c r="E53" s="97" t="n"/>
      <c r="F53" s="97" t="n"/>
      <c r="G53" s="97" t="n"/>
      <c r="H53" s="97" t="n"/>
      <c r="I53" s="97" t="n"/>
      <c r="J53" s="97" t="n"/>
      <c r="L53" s="97" t="n"/>
      <c r="M53" s="97" t="n"/>
      <c r="N53" s="97" t="n"/>
      <c r="O53" s="97" t="n"/>
      <c r="Q53" s="97" t="n"/>
      <c r="R53" s="97" t="n"/>
      <c r="S53" s="97" t="n"/>
      <c r="T53" s="97" t="n"/>
      <c r="U53" s="97" t="n"/>
      <c r="V53" s="97" t="n"/>
      <c r="W53" s="97" t="n"/>
      <c r="X53" s="97" t="n"/>
      <c r="Y53" s="97" t="n"/>
      <c r="Z53" s="97" t="n"/>
      <c r="AA53" s="97" t="n"/>
      <c r="AB53" s="97" t="n"/>
      <c r="AC53" s="97" t="n"/>
      <c r="AD53" s="97" t="n"/>
      <c r="AE53" s="97" t="n"/>
      <c r="AF53" s="97" t="n"/>
      <c r="AG53" s="97" t="n"/>
      <c r="AH53" s="97" t="n"/>
      <c r="AI53" s="97" t="n"/>
      <c r="AJ53" s="97" t="n"/>
      <c r="AK53" s="97" t="n"/>
      <c r="AL53" s="97" t="n"/>
      <c r="AM53" s="97" t="n"/>
      <c r="AN53" s="97" t="n"/>
      <c r="AO53" s="97" t="n"/>
      <c r="AP53" s="97" t="n"/>
      <c r="AQ53" s="97" t="n"/>
      <c r="AR53" s="97" t="n"/>
      <c r="AS53" s="97" t="n"/>
      <c r="AT53" s="97" t="n"/>
      <c r="AU53" s="97" t="n"/>
      <c r="AV53" s="97" t="n"/>
      <c r="AW53" s="97" t="n"/>
      <c r="AX53" s="97" t="n"/>
      <c r="AY53" s="97" t="n"/>
      <c r="AZ53" s="97" t="n"/>
      <c r="BA53" s="97" t="n"/>
      <c r="BB53" s="97" t="n"/>
    </row>
    <row r="54" ht="22" customHeight="1" s="110">
      <c r="A54" s="96" t="n"/>
      <c r="B54" s="96" t="n"/>
      <c r="C54" s="96" t="n"/>
      <c r="D54" s="96" t="n"/>
      <c r="E54" s="96" t="n"/>
      <c r="F54" s="96" t="n"/>
      <c r="G54" s="96" t="n"/>
      <c r="H54" s="96" t="n"/>
      <c r="I54" s="96" t="n"/>
      <c r="J54" s="96" t="n"/>
      <c r="L54" s="96" t="n"/>
      <c r="M54" s="96" t="n"/>
      <c r="N54" s="96" t="n"/>
      <c r="O54" s="96" t="n"/>
      <c r="Q54" s="96" t="n"/>
      <c r="R54" s="96" t="n"/>
      <c r="S54" s="96" t="n"/>
      <c r="T54" s="96" t="n"/>
      <c r="U54" s="96" t="n"/>
      <c r="V54" s="96" t="n"/>
      <c r="W54" s="96" t="n"/>
      <c r="X54" s="96" t="n"/>
      <c r="Y54" s="96" t="n"/>
      <c r="Z54" s="96" t="n"/>
      <c r="AA54" s="96" t="n"/>
      <c r="AB54" s="96" t="n"/>
      <c r="AC54" s="96" t="n"/>
      <c r="AD54" s="96" t="n"/>
      <c r="AE54" s="96" t="n"/>
      <c r="AF54" s="96" t="n"/>
      <c r="AG54" s="96" t="n"/>
      <c r="AH54" s="96" t="n"/>
      <c r="AI54" s="96" t="n"/>
      <c r="AJ54" s="96" t="n"/>
      <c r="AK54" s="96" t="n"/>
      <c r="AL54" s="96" t="n"/>
      <c r="AM54" s="96" t="n"/>
      <c r="AN54" s="96" t="n"/>
      <c r="AO54" s="96" t="n"/>
      <c r="AP54" s="96" t="n"/>
      <c r="AQ54" s="96" t="n"/>
      <c r="AR54" s="96" t="n"/>
      <c r="AS54" s="96" t="n"/>
      <c r="AT54" s="96" t="n"/>
      <c r="AU54" s="96" t="n"/>
      <c r="AV54" s="96" t="n"/>
      <c r="AW54" s="96" t="n"/>
      <c r="AX54" s="96" t="n"/>
      <c r="AY54" s="96" t="n"/>
      <c r="AZ54" s="96" t="n"/>
      <c r="BA54" s="96" t="n"/>
      <c r="BB54" s="96" t="n"/>
    </row>
    <row r="55" ht="22" customHeight="1" s="110">
      <c r="A55" s="97" t="n"/>
      <c r="B55" s="97" t="n"/>
      <c r="C55" s="97" t="n"/>
      <c r="D55" s="97" t="n"/>
      <c r="E55" s="97" t="n"/>
      <c r="F55" s="97" t="n"/>
      <c r="G55" s="97" t="n"/>
      <c r="H55" s="97" t="n"/>
      <c r="I55" s="97" t="n"/>
      <c r="J55" s="97" t="n"/>
      <c r="L55" s="97" t="n"/>
      <c r="M55" s="97" t="n"/>
      <c r="N55" s="97" t="n"/>
      <c r="O55" s="97" t="n"/>
      <c r="Q55" s="97" t="n"/>
      <c r="R55" s="97" t="n"/>
      <c r="S55" s="97" t="n"/>
      <c r="T55" s="97" t="n"/>
      <c r="U55" s="97" t="n"/>
      <c r="V55" s="97" t="n"/>
      <c r="W55" s="97" t="n"/>
      <c r="X55" s="97" t="n"/>
      <c r="Y55" s="97" t="n"/>
      <c r="Z55" s="97" t="n"/>
      <c r="AA55" s="97" t="n"/>
      <c r="AB55" s="97" t="n"/>
      <c r="AC55" s="97" t="n"/>
      <c r="AD55" s="97" t="n"/>
      <c r="AE55" s="97" t="n"/>
      <c r="AF55" s="97" t="n"/>
      <c r="AG55" s="97" t="n"/>
      <c r="AH55" s="97" t="n"/>
      <c r="AI55" s="97" t="n"/>
      <c r="AJ55" s="97" t="n"/>
      <c r="AK55" s="97" t="n"/>
      <c r="AL55" s="97" t="n"/>
      <c r="AM55" s="97" t="n"/>
      <c r="AN55" s="97" t="n"/>
      <c r="AO55" s="97" t="n"/>
      <c r="AP55" s="97" t="n"/>
      <c r="AQ55" s="97" t="n"/>
      <c r="AR55" s="97" t="n"/>
      <c r="AS55" s="97" t="n"/>
      <c r="AT55" s="97" t="n"/>
      <c r="AU55" s="97" t="n"/>
      <c r="AV55" s="97" t="n"/>
      <c r="AW55" s="97" t="n"/>
      <c r="AX55" s="97" t="n"/>
      <c r="AY55" s="97" t="n"/>
      <c r="AZ55" s="97" t="n"/>
      <c r="BA55" s="97" t="n"/>
      <c r="BB55" s="97" t="n"/>
    </row>
    <row r="56" ht="22" customHeight="1" s="110">
      <c r="A56" s="96" t="n"/>
      <c r="B56" s="96" t="n"/>
      <c r="C56" s="96" t="n"/>
      <c r="D56" s="96" t="n"/>
      <c r="E56" s="96" t="n"/>
      <c r="F56" s="96" t="n"/>
      <c r="G56" s="96" t="n"/>
      <c r="H56" s="96" t="n"/>
      <c r="I56" s="96" t="n"/>
      <c r="J56" s="96" t="n"/>
      <c r="L56" s="96" t="n"/>
      <c r="M56" s="96" t="n"/>
      <c r="N56" s="96" t="n"/>
      <c r="O56" s="96" t="n"/>
      <c r="Q56" s="96" t="n"/>
      <c r="R56" s="96" t="n"/>
      <c r="S56" s="96" t="n"/>
      <c r="T56" s="96" t="n"/>
      <c r="U56" s="96" t="n"/>
      <c r="V56" s="96" t="n"/>
      <c r="W56" s="96" t="n"/>
      <c r="X56" s="96" t="n"/>
      <c r="Y56" s="96" t="n"/>
      <c r="Z56" s="96" t="n"/>
      <c r="AA56" s="96" t="n"/>
      <c r="AB56" s="96" t="n"/>
      <c r="AC56" s="96" t="n"/>
      <c r="AD56" s="96" t="n"/>
      <c r="AE56" s="96" t="n"/>
      <c r="AF56" s="96" t="n"/>
      <c r="AG56" s="96" t="n"/>
      <c r="AH56" s="96" t="n"/>
      <c r="AI56" s="96" t="n"/>
      <c r="AJ56" s="96" t="n"/>
      <c r="AK56" s="96" t="n"/>
      <c r="AL56" s="96" t="n"/>
      <c r="AM56" s="96" t="n"/>
      <c r="AN56" s="96" t="n"/>
      <c r="AO56" s="96" t="n"/>
      <c r="AP56" s="96" t="n"/>
      <c r="AQ56" s="96" t="n"/>
      <c r="AR56" s="96" t="n"/>
      <c r="AS56" s="96" t="n"/>
      <c r="AT56" s="96" t="n"/>
      <c r="AU56" s="96" t="n"/>
      <c r="AV56" s="96" t="n"/>
      <c r="AW56" s="96" t="n"/>
      <c r="AX56" s="96" t="n"/>
      <c r="AY56" s="96" t="n"/>
      <c r="AZ56" s="96" t="n"/>
      <c r="BA56" s="96" t="n"/>
      <c r="BB56" s="96" t="n"/>
    </row>
    <row r="57" ht="22" customHeight="1" s="110">
      <c r="A57" s="97" t="n"/>
      <c r="B57" s="97" t="n"/>
      <c r="C57" s="97" t="n"/>
      <c r="D57" s="97" t="n"/>
      <c r="E57" s="97" t="n"/>
      <c r="F57" s="97" t="n"/>
      <c r="G57" s="97" t="n"/>
      <c r="H57" s="97" t="n"/>
      <c r="I57" s="97" t="n"/>
      <c r="J57" s="97" t="n"/>
      <c r="L57" s="97" t="n"/>
      <c r="M57" s="97" t="n"/>
      <c r="N57" s="97" t="n"/>
      <c r="O57" s="97" t="n"/>
      <c r="Q57" s="97" t="n"/>
      <c r="R57" s="97" t="n"/>
      <c r="S57" s="97" t="n"/>
      <c r="T57" s="97" t="n"/>
      <c r="U57" s="97" t="n"/>
      <c r="V57" s="97" t="n"/>
      <c r="W57" s="97" t="n"/>
      <c r="X57" s="97" t="n"/>
      <c r="Y57" s="97" t="n"/>
      <c r="Z57" s="97" t="n"/>
      <c r="AA57" s="97" t="n"/>
      <c r="AB57" s="97" t="n"/>
      <c r="AC57" s="97" t="n"/>
      <c r="AD57" s="97" t="n"/>
      <c r="AE57" s="97" t="n"/>
      <c r="AF57" s="97" t="n"/>
      <c r="AG57" s="97" t="n"/>
      <c r="AH57" s="97" t="n"/>
      <c r="AI57" s="97" t="n"/>
      <c r="AJ57" s="97" t="n"/>
      <c r="AK57" s="97" t="n"/>
      <c r="AL57" s="97" t="n"/>
      <c r="AM57" s="97" t="n"/>
      <c r="AN57" s="97" t="n"/>
      <c r="AO57" s="97" t="n"/>
      <c r="AP57" s="97" t="n"/>
      <c r="AQ57" s="97" t="n"/>
      <c r="AR57" s="97" t="n"/>
      <c r="AS57" s="97" t="n"/>
      <c r="AT57" s="97" t="n"/>
      <c r="AU57" s="97" t="n"/>
      <c r="AV57" s="97" t="n"/>
      <c r="AW57" s="97" t="n"/>
      <c r="AX57" s="97" t="n"/>
      <c r="AY57" s="97" t="n"/>
      <c r="AZ57" s="97" t="n"/>
      <c r="BA57" s="97" t="n"/>
      <c r="BB57" s="97" t="n"/>
    </row>
    <row r="58" ht="22" customHeight="1" s="110">
      <c r="A58" s="96" t="n"/>
      <c r="B58" s="96" t="n"/>
      <c r="C58" s="96" t="n"/>
      <c r="D58" s="96" t="n"/>
      <c r="E58" s="96" t="n"/>
      <c r="F58" s="96" t="n"/>
      <c r="G58" s="96" t="n"/>
      <c r="H58" s="96" t="n"/>
      <c r="I58" s="96" t="n"/>
      <c r="J58" s="96" t="n"/>
      <c r="L58" s="96" t="n"/>
      <c r="M58" s="96" t="n"/>
      <c r="N58" s="96" t="n"/>
      <c r="O58" s="96" t="n"/>
      <c r="Q58" s="96" t="n"/>
      <c r="R58" s="96" t="n"/>
      <c r="S58" s="96" t="n"/>
      <c r="T58" s="96" t="n"/>
      <c r="U58" s="96" t="n"/>
      <c r="V58" s="96" t="n"/>
      <c r="W58" s="96" t="n"/>
      <c r="X58" s="96" t="n"/>
      <c r="Y58" s="96" t="n"/>
      <c r="Z58" s="96" t="n"/>
      <c r="AA58" s="96" t="n"/>
      <c r="AB58" s="96" t="n"/>
      <c r="AC58" s="96" t="n"/>
      <c r="AD58" s="96" t="n"/>
      <c r="AE58" s="96" t="n"/>
      <c r="AF58" s="96" t="n"/>
      <c r="AG58" s="96" t="n"/>
      <c r="AH58" s="96" t="n"/>
      <c r="AI58" s="96" t="n"/>
      <c r="AJ58" s="96" t="n"/>
      <c r="AK58" s="96" t="n"/>
      <c r="AL58" s="96" t="n"/>
      <c r="AM58" s="96" t="n"/>
      <c r="AN58" s="96" t="n"/>
      <c r="AO58" s="96" t="n"/>
      <c r="AP58" s="96" t="n"/>
      <c r="AQ58" s="96" t="n"/>
      <c r="AR58" s="96" t="n"/>
      <c r="AS58" s="96" t="n"/>
      <c r="AT58" s="96" t="n"/>
      <c r="AU58" s="96" t="n"/>
      <c r="AV58" s="96" t="n"/>
      <c r="AW58" s="96" t="n"/>
      <c r="AX58" s="96" t="n"/>
      <c r="AY58" s="96" t="n"/>
      <c r="AZ58" s="96" t="n"/>
      <c r="BA58" s="96" t="n"/>
      <c r="BB58" s="96" t="n"/>
    </row>
    <row r="59" ht="22" customHeight="1" s="110">
      <c r="A59" s="97" t="n"/>
      <c r="B59" s="97" t="n"/>
      <c r="C59" s="97" t="n"/>
      <c r="D59" s="97" t="n"/>
      <c r="E59" s="97" t="n"/>
      <c r="F59" s="97" t="n"/>
      <c r="G59" s="97" t="n"/>
      <c r="H59" s="97" t="n"/>
      <c r="I59" s="97" t="n"/>
      <c r="J59" s="97" t="n"/>
      <c r="L59" s="97" t="n"/>
      <c r="M59" s="97" t="n"/>
      <c r="N59" s="97" t="n"/>
      <c r="O59" s="97" t="n"/>
      <c r="Q59" s="97" t="n"/>
      <c r="R59" s="97" t="n"/>
      <c r="S59" s="97" t="n"/>
      <c r="T59" s="97" t="n"/>
      <c r="U59" s="97" t="n"/>
      <c r="V59" s="97" t="n"/>
      <c r="W59" s="97" t="n"/>
      <c r="X59" s="97" t="n"/>
      <c r="Y59" s="97" t="n"/>
      <c r="Z59" s="97" t="n"/>
      <c r="AA59" s="97" t="n"/>
      <c r="AB59" s="97" t="n"/>
      <c r="AC59" s="97" t="n"/>
      <c r="AD59" s="97" t="n"/>
      <c r="AE59" s="97" t="n"/>
      <c r="AF59" s="97" t="n"/>
      <c r="AG59" s="97" t="n"/>
      <c r="AH59" s="97" t="n"/>
      <c r="AI59" s="97" t="n"/>
      <c r="AJ59" s="97" t="n"/>
      <c r="AK59" s="97" t="n"/>
      <c r="AL59" s="97" t="n"/>
      <c r="AM59" s="97" t="n"/>
      <c r="AN59" s="97" t="n"/>
      <c r="AO59" s="97" t="n"/>
      <c r="AP59" s="97" t="n"/>
      <c r="AQ59" s="97" t="n"/>
      <c r="AR59" s="97" t="n"/>
      <c r="AS59" s="97" t="n"/>
      <c r="AT59" s="97" t="n"/>
      <c r="AU59" s="97" t="n"/>
      <c r="AV59" s="97" t="n"/>
      <c r="AW59" s="97" t="n"/>
      <c r="AX59" s="97" t="n"/>
      <c r="AY59" s="97" t="n"/>
      <c r="AZ59" s="97" t="n"/>
      <c r="BA59" s="97" t="n"/>
      <c r="BB59" s="97" t="n"/>
    </row>
    <row r="60" ht="22" customHeight="1" s="110">
      <c r="A60" s="96" t="n"/>
      <c r="B60" s="96" t="n"/>
      <c r="C60" s="96" t="n"/>
      <c r="D60" s="96" t="n"/>
      <c r="E60" s="96" t="n"/>
      <c r="F60" s="96" t="n"/>
      <c r="G60" s="96" t="n"/>
      <c r="H60" s="96" t="n"/>
      <c r="I60" s="96" t="n"/>
      <c r="J60" s="96" t="n"/>
      <c r="L60" s="96" t="n"/>
      <c r="M60" s="96" t="n"/>
      <c r="N60" s="96" t="n"/>
      <c r="O60" s="96" t="n"/>
      <c r="Q60" s="96" t="n"/>
      <c r="R60" s="96" t="n"/>
      <c r="S60" s="96" t="n"/>
      <c r="T60" s="96" t="n"/>
      <c r="U60" s="96" t="n"/>
      <c r="V60" s="96" t="n"/>
      <c r="W60" s="96" t="n"/>
      <c r="X60" s="96" t="n"/>
      <c r="Y60" s="96" t="n"/>
      <c r="Z60" s="96" t="n"/>
      <c r="AA60" s="96" t="n"/>
      <c r="AB60" s="96" t="n"/>
      <c r="AC60" s="96" t="n"/>
      <c r="AD60" s="96" t="n"/>
      <c r="AE60" s="96" t="n"/>
      <c r="AF60" s="96" t="n"/>
      <c r="AG60" s="96" t="n"/>
      <c r="AH60" s="96" t="n"/>
      <c r="AI60" s="96" t="n"/>
      <c r="AJ60" s="96" t="n"/>
      <c r="AK60" s="96" t="n"/>
      <c r="AL60" s="96" t="n"/>
      <c r="AM60" s="96" t="n"/>
      <c r="AN60" s="96" t="n"/>
      <c r="AO60" s="96" t="n"/>
      <c r="AP60" s="96" t="n"/>
      <c r="AQ60" s="96" t="n"/>
      <c r="AR60" s="96" t="n"/>
      <c r="AS60" s="96" t="n"/>
      <c r="AT60" s="96" t="n"/>
      <c r="AU60" s="96" t="n"/>
      <c r="AV60" s="96" t="n"/>
      <c r="AW60" s="96" t="n"/>
      <c r="AX60" s="96" t="n"/>
      <c r="AY60" s="96" t="n"/>
      <c r="AZ60" s="96" t="n"/>
      <c r="BA60" s="96" t="n"/>
      <c r="BB60" s="96" t="n"/>
    </row>
    <row r="61" ht="22" customHeight="1" s="110">
      <c r="A61" s="97" t="n"/>
      <c r="B61" s="97" t="n"/>
      <c r="C61" s="97" t="n"/>
      <c r="D61" s="97" t="n"/>
      <c r="E61" s="97" t="n"/>
      <c r="F61" s="97" t="n"/>
      <c r="G61" s="97" t="n"/>
      <c r="H61" s="97" t="n"/>
      <c r="I61" s="97" t="n"/>
      <c r="J61" s="97" t="n"/>
      <c r="L61" s="97" t="n"/>
      <c r="M61" s="97" t="n"/>
      <c r="N61" s="97" t="n"/>
      <c r="O61" s="97" t="n"/>
      <c r="Q61" s="97" t="n"/>
      <c r="R61" s="97" t="n"/>
      <c r="S61" s="97" t="n"/>
      <c r="T61" s="97" t="n"/>
      <c r="U61" s="97" t="n"/>
      <c r="V61" s="97" t="n"/>
      <c r="W61" s="97" t="n"/>
      <c r="X61" s="97" t="n"/>
      <c r="Y61" s="97" t="n"/>
      <c r="Z61" s="97" t="n"/>
      <c r="AA61" s="97" t="n"/>
      <c r="AB61" s="97" t="n"/>
      <c r="AC61" s="97" t="n"/>
      <c r="AD61" s="97" t="n"/>
      <c r="AE61" s="97" t="n"/>
      <c r="AF61" s="97" t="n"/>
      <c r="AG61" s="97" t="n"/>
      <c r="AH61" s="97" t="n"/>
      <c r="AI61" s="97" t="n"/>
      <c r="AJ61" s="97" t="n"/>
      <c r="AK61" s="97" t="n"/>
      <c r="AL61" s="97" t="n"/>
      <c r="AM61" s="97" t="n"/>
      <c r="AN61" s="97" t="n"/>
      <c r="AO61" s="97" t="n"/>
      <c r="AP61" s="97" t="n"/>
      <c r="AQ61" s="97" t="n"/>
      <c r="AR61" s="97" t="n"/>
      <c r="AS61" s="97" t="n"/>
      <c r="AT61" s="97" t="n"/>
      <c r="AU61" s="97" t="n"/>
      <c r="AV61" s="97" t="n"/>
      <c r="AW61" s="97" t="n"/>
      <c r="AX61" s="97" t="n"/>
      <c r="AY61" s="97" t="n"/>
      <c r="AZ61" s="97" t="n"/>
      <c r="BA61" s="97" t="n"/>
      <c r="BB61" s="97" t="n"/>
    </row>
    <row r="62" ht="22" customHeight="1" s="110">
      <c r="A62" s="96" t="n"/>
      <c r="B62" s="96" t="n"/>
      <c r="C62" s="96" t="n"/>
      <c r="D62" s="96" t="n"/>
      <c r="E62" s="96" t="n"/>
      <c r="F62" s="96" t="n"/>
      <c r="G62" s="96" t="n"/>
      <c r="H62" s="96" t="n"/>
      <c r="I62" s="96" t="n"/>
      <c r="J62" s="96" t="n"/>
      <c r="L62" s="96" t="n"/>
      <c r="M62" s="96" t="n"/>
      <c r="N62" s="96" t="n"/>
      <c r="O62" s="96" t="n"/>
      <c r="Q62" s="96" t="n"/>
      <c r="R62" s="96" t="n"/>
      <c r="S62" s="96" t="n"/>
      <c r="T62" s="96" t="n"/>
      <c r="U62" s="96" t="n"/>
      <c r="V62" s="96" t="n"/>
      <c r="W62" s="96" t="n"/>
      <c r="X62" s="96" t="n"/>
      <c r="Y62" s="96" t="n"/>
      <c r="Z62" s="96" t="n"/>
      <c r="AA62" s="96" t="n"/>
      <c r="AB62" s="96" t="n"/>
      <c r="AC62" s="96" t="n"/>
      <c r="AD62" s="96" t="n"/>
      <c r="AE62" s="96" t="n"/>
      <c r="AF62" s="96" t="n"/>
      <c r="AG62" s="96" t="n"/>
      <c r="AH62" s="96" t="n"/>
      <c r="AI62" s="96" t="n"/>
      <c r="AJ62" s="96" t="n"/>
      <c r="AK62" s="96" t="n"/>
      <c r="AL62" s="96" t="n"/>
      <c r="AM62" s="96" t="n"/>
      <c r="AN62" s="96" t="n"/>
      <c r="AO62" s="96" t="n"/>
      <c r="AP62" s="96" t="n"/>
      <c r="AQ62" s="96" t="n"/>
      <c r="AR62" s="96" t="n"/>
      <c r="AS62" s="96" t="n"/>
      <c r="AT62" s="96" t="n"/>
      <c r="AU62" s="96" t="n"/>
      <c r="AV62" s="96" t="n"/>
      <c r="AW62" s="96" t="n"/>
      <c r="AX62" s="96" t="n"/>
      <c r="AY62" s="96" t="n"/>
      <c r="AZ62" s="96" t="n"/>
      <c r="BA62" s="96" t="n"/>
      <c r="BB62" s="96" t="n"/>
    </row>
    <row r="63" ht="22" customHeight="1" s="110">
      <c r="A63" s="97" t="n"/>
      <c r="B63" s="97" t="n"/>
      <c r="C63" s="97" t="n"/>
      <c r="D63" s="97" t="n"/>
      <c r="E63" s="97" t="n"/>
      <c r="F63" s="97" t="n"/>
      <c r="G63" s="97" t="n"/>
      <c r="H63" s="97" t="n"/>
      <c r="I63" s="97" t="n"/>
      <c r="J63" s="97" t="n"/>
      <c r="L63" s="97" t="n"/>
      <c r="M63" s="97" t="n"/>
      <c r="N63" s="97" t="n"/>
      <c r="O63" s="97" t="n"/>
      <c r="Q63" s="97" t="n"/>
      <c r="R63" s="97" t="n"/>
      <c r="S63" s="97" t="n"/>
      <c r="T63" s="97" t="n"/>
      <c r="U63" s="97" t="n"/>
      <c r="V63" s="97" t="n"/>
      <c r="W63" s="97" t="n"/>
      <c r="X63" s="97" t="n"/>
      <c r="Y63" s="97" t="n"/>
      <c r="Z63" s="97" t="n"/>
      <c r="AA63" s="97" t="n"/>
      <c r="AB63" s="97" t="n"/>
      <c r="AC63" s="97" t="n"/>
      <c r="AD63" s="97" t="n"/>
      <c r="AE63" s="97" t="n"/>
      <c r="AF63" s="97" t="n"/>
      <c r="AG63" s="97" t="n"/>
      <c r="AH63" s="97" t="n"/>
      <c r="AI63" s="97" t="n"/>
      <c r="AJ63" s="97" t="n"/>
      <c r="AK63" s="97" t="n"/>
      <c r="AL63" s="97" t="n"/>
      <c r="AM63" s="97" t="n"/>
      <c r="AN63" s="97" t="n"/>
      <c r="AO63" s="97" t="n"/>
      <c r="AP63" s="97" t="n"/>
      <c r="AQ63" s="97" t="n"/>
      <c r="AR63" s="97" t="n"/>
      <c r="AS63" s="97" t="n"/>
      <c r="AT63" s="97" t="n"/>
      <c r="AU63" s="97" t="n"/>
      <c r="AV63" s="97" t="n"/>
      <c r="AW63" s="97" t="n"/>
      <c r="AX63" s="97" t="n"/>
      <c r="AY63" s="97" t="n"/>
      <c r="AZ63" s="97" t="n"/>
      <c r="BA63" s="97" t="n"/>
      <c r="BB63" s="97" t="n"/>
    </row>
    <row r="64" ht="22" customHeight="1" s="110">
      <c r="A64" s="96" t="n"/>
      <c r="B64" s="96" t="n"/>
      <c r="C64" s="96" t="n"/>
      <c r="D64" s="96" t="n"/>
      <c r="E64" s="96" t="n"/>
      <c r="F64" s="96" t="n"/>
      <c r="G64" s="96" t="n"/>
      <c r="H64" s="96" t="n"/>
      <c r="I64" s="96" t="n"/>
      <c r="J64" s="96" t="n"/>
      <c r="L64" s="96" t="n"/>
      <c r="M64" s="96" t="n"/>
      <c r="N64" s="96" t="n"/>
      <c r="O64" s="96" t="n"/>
      <c r="Q64" s="96" t="n"/>
      <c r="R64" s="96" t="n"/>
      <c r="S64" s="96" t="n"/>
      <c r="T64" s="96" t="n"/>
      <c r="U64" s="96" t="n"/>
      <c r="V64" s="96" t="n"/>
      <c r="W64" s="96" t="n"/>
      <c r="X64" s="96" t="n"/>
      <c r="Y64" s="96" t="n"/>
      <c r="Z64" s="96" t="n"/>
      <c r="AA64" s="96" t="n"/>
      <c r="AB64" s="96" t="n"/>
      <c r="AC64" s="96" t="n"/>
      <c r="AD64" s="96" t="n"/>
      <c r="AE64" s="96" t="n"/>
      <c r="AF64" s="96" t="n"/>
      <c r="AG64" s="96" t="n"/>
      <c r="AH64" s="96" t="n"/>
      <c r="AI64" s="96" t="n"/>
      <c r="AJ64" s="96" t="n"/>
      <c r="AK64" s="96" t="n"/>
      <c r="AL64" s="96" t="n"/>
      <c r="AM64" s="96" t="n"/>
      <c r="AN64" s="96" t="n"/>
      <c r="AO64" s="96" t="n"/>
      <c r="AP64" s="96" t="n"/>
      <c r="AQ64" s="96" t="n"/>
      <c r="AR64" s="96" t="n"/>
      <c r="AS64" s="96" t="n"/>
      <c r="AT64" s="96" t="n"/>
      <c r="AU64" s="96" t="n"/>
      <c r="AV64" s="96" t="n"/>
      <c r="AW64" s="96" t="n"/>
      <c r="AX64" s="96" t="n"/>
      <c r="AY64" s="96" t="n"/>
      <c r="AZ64" s="96" t="n"/>
      <c r="BA64" s="96" t="n"/>
      <c r="BB64" s="96" t="n"/>
    </row>
    <row r="65" ht="22" customHeight="1" s="110">
      <c r="A65" s="97" t="n"/>
      <c r="B65" s="97" t="n"/>
      <c r="C65" s="97" t="n"/>
      <c r="D65" s="97" t="n"/>
      <c r="E65" s="97" t="n"/>
      <c r="F65" s="97" t="n"/>
      <c r="G65" s="97" t="n"/>
      <c r="H65" s="97" t="n"/>
      <c r="I65" s="97" t="n"/>
      <c r="J65" s="97" t="n"/>
      <c r="L65" s="97" t="n"/>
      <c r="M65" s="97" t="n"/>
      <c r="N65" s="97" t="n"/>
      <c r="O65" s="97" t="n"/>
      <c r="Q65" s="97" t="n"/>
      <c r="R65" s="97" t="n"/>
      <c r="S65" s="97" t="n"/>
      <c r="T65" s="97" t="n"/>
      <c r="U65" s="97" t="n"/>
      <c r="V65" s="97" t="n"/>
      <c r="W65" s="97" t="n"/>
      <c r="X65" s="97" t="n"/>
      <c r="Y65" s="97" t="n"/>
      <c r="Z65" s="97" t="n"/>
      <c r="AA65" s="97" t="n"/>
      <c r="AB65" s="97" t="n"/>
      <c r="AC65" s="97" t="n"/>
      <c r="AD65" s="97" t="n"/>
      <c r="AE65" s="97" t="n"/>
      <c r="AF65" s="97" t="n"/>
      <c r="AG65" s="97" t="n"/>
      <c r="AH65" s="97" t="n"/>
      <c r="AI65" s="97" t="n"/>
      <c r="AJ65" s="97" t="n"/>
      <c r="AK65" s="97" t="n"/>
      <c r="AL65" s="97" t="n"/>
      <c r="AM65" s="97" t="n"/>
      <c r="AN65" s="97" t="n"/>
      <c r="AO65" s="97" t="n"/>
      <c r="AP65" s="97" t="n"/>
      <c r="AQ65" s="97" t="n"/>
      <c r="AR65" s="97" t="n"/>
      <c r="AS65" s="97" t="n"/>
      <c r="AT65" s="97" t="n"/>
      <c r="AU65" s="97" t="n"/>
      <c r="AV65" s="97" t="n"/>
      <c r="AW65" s="97" t="n"/>
      <c r="AX65" s="97" t="n"/>
      <c r="AY65" s="97" t="n"/>
      <c r="AZ65" s="97" t="n"/>
      <c r="BA65" s="97" t="n"/>
      <c r="BB65" s="97" t="n"/>
    </row>
    <row r="66" ht="22" customHeight="1" s="110">
      <c r="A66" s="96" t="n"/>
      <c r="B66" s="96" t="n"/>
      <c r="C66" s="96" t="n"/>
      <c r="D66" s="96" t="n"/>
      <c r="E66" s="96" t="n"/>
      <c r="F66" s="96" t="n"/>
      <c r="G66" s="96" t="n"/>
      <c r="H66" s="96" t="n"/>
      <c r="I66" s="96" t="n"/>
      <c r="J66" s="96" t="n"/>
      <c r="L66" s="96" t="n"/>
      <c r="M66" s="96" t="n"/>
      <c r="N66" s="96" t="n"/>
      <c r="O66" s="96" t="n"/>
      <c r="Q66" s="96" t="n"/>
      <c r="R66" s="96" t="n"/>
      <c r="S66" s="96" t="n"/>
      <c r="T66" s="96" t="n"/>
      <c r="U66" s="96" t="n"/>
      <c r="V66" s="96" t="n"/>
      <c r="W66" s="96" t="n"/>
      <c r="X66" s="96" t="n"/>
      <c r="Y66" s="96" t="n"/>
      <c r="Z66" s="96" t="n"/>
      <c r="AA66" s="96" t="n"/>
      <c r="AB66" s="96" t="n"/>
      <c r="AC66" s="96" t="n"/>
      <c r="AD66" s="96" t="n"/>
      <c r="AE66" s="96" t="n"/>
      <c r="AF66" s="96" t="n"/>
      <c r="AG66" s="96" t="n"/>
      <c r="AH66" s="96" t="n"/>
      <c r="AI66" s="96" t="n"/>
      <c r="AJ66" s="96" t="n"/>
      <c r="AK66" s="96" t="n"/>
      <c r="AL66" s="96" t="n"/>
      <c r="AM66" s="96" t="n"/>
      <c r="AN66" s="96" t="n"/>
      <c r="AO66" s="96" t="n"/>
      <c r="AP66" s="96" t="n"/>
      <c r="AQ66" s="96" t="n"/>
      <c r="AR66" s="96" t="n"/>
      <c r="AS66" s="96" t="n"/>
      <c r="AT66" s="96" t="n"/>
      <c r="AU66" s="96" t="n"/>
      <c r="AV66" s="96" t="n"/>
      <c r="AW66" s="96" t="n"/>
      <c r="AX66" s="96" t="n"/>
      <c r="AY66" s="96" t="n"/>
      <c r="AZ66" s="96" t="n"/>
      <c r="BA66" s="96" t="n"/>
      <c r="BB66" s="96" t="n"/>
    </row>
    <row r="67" ht="22" customHeight="1" s="110">
      <c r="A67" s="97" t="n"/>
      <c r="B67" s="97" t="n"/>
      <c r="C67" s="97" t="n"/>
      <c r="D67" s="97" t="n"/>
      <c r="E67" s="97" t="n"/>
      <c r="F67" s="97" t="n"/>
      <c r="G67" s="97" t="n"/>
      <c r="H67" s="97" t="n"/>
      <c r="I67" s="97" t="n"/>
      <c r="J67" s="97" t="n"/>
      <c r="L67" s="97" t="n"/>
      <c r="M67" s="97" t="n"/>
      <c r="N67" s="97" t="n"/>
      <c r="O67" s="97" t="n"/>
      <c r="Q67" s="97" t="n"/>
      <c r="R67" s="97" t="n"/>
      <c r="S67" s="97" t="n"/>
      <c r="T67" s="97" t="n"/>
      <c r="U67" s="97" t="n"/>
      <c r="V67" s="97" t="n"/>
      <c r="W67" s="97" t="n"/>
      <c r="X67" s="97" t="n"/>
      <c r="Y67" s="97" t="n"/>
      <c r="Z67" s="97" t="n"/>
      <c r="AA67" s="97" t="n"/>
      <c r="AB67" s="97" t="n"/>
      <c r="AC67" s="97" t="n"/>
      <c r="AD67" s="97" t="n"/>
      <c r="AE67" s="97" t="n"/>
      <c r="AF67" s="97" t="n"/>
      <c r="AG67" s="97" t="n"/>
      <c r="AH67" s="97" t="n"/>
      <c r="AI67" s="97" t="n"/>
      <c r="AJ67" s="97" t="n"/>
      <c r="AK67" s="97" t="n"/>
      <c r="AL67" s="97" t="n"/>
      <c r="AM67" s="97" t="n"/>
      <c r="AN67" s="97" t="n"/>
      <c r="AO67" s="97" t="n"/>
      <c r="AP67" s="97" t="n"/>
      <c r="AQ67" s="97" t="n"/>
      <c r="AR67" s="97" t="n"/>
      <c r="AS67" s="97" t="n"/>
      <c r="AT67" s="97" t="n"/>
      <c r="AU67" s="97" t="n"/>
      <c r="AV67" s="97" t="n"/>
      <c r="AW67" s="97" t="n"/>
      <c r="AX67" s="97" t="n"/>
      <c r="AY67" s="97" t="n"/>
      <c r="AZ67" s="97" t="n"/>
      <c r="BA67" s="97" t="n"/>
      <c r="BB67" s="97" t="n"/>
    </row>
    <row r="68" ht="22" customHeight="1" s="110">
      <c r="A68" s="96" t="n"/>
      <c r="B68" s="96" t="n"/>
      <c r="C68" s="96" t="n"/>
      <c r="D68" s="96" t="n"/>
      <c r="E68" s="96" t="n"/>
      <c r="F68" s="96" t="n"/>
      <c r="G68" s="96" t="n"/>
      <c r="H68" s="96" t="n"/>
      <c r="I68" s="96" t="n"/>
      <c r="J68" s="96" t="n"/>
      <c r="L68" s="96" t="n"/>
      <c r="M68" s="96" t="n"/>
      <c r="N68" s="96" t="n"/>
      <c r="O68" s="96" t="n"/>
      <c r="Q68" s="96" t="n"/>
      <c r="R68" s="96" t="n"/>
      <c r="S68" s="96" t="n"/>
      <c r="T68" s="96" t="n"/>
      <c r="U68" s="96" t="n"/>
      <c r="V68" s="96" t="n"/>
      <c r="W68" s="96" t="n"/>
      <c r="X68" s="96" t="n"/>
      <c r="Y68" s="96" t="n"/>
      <c r="Z68" s="96" t="n"/>
      <c r="AA68" s="96" t="n"/>
      <c r="AB68" s="96" t="n"/>
      <c r="AC68" s="96" t="n"/>
      <c r="AD68" s="96" t="n"/>
      <c r="AE68" s="96" t="n"/>
      <c r="AF68" s="96" t="n"/>
      <c r="AG68" s="96" t="n"/>
      <c r="AH68" s="96" t="n"/>
      <c r="AI68" s="96" t="n"/>
      <c r="AJ68" s="96" t="n"/>
      <c r="AK68" s="96" t="n"/>
      <c r="AL68" s="96" t="n"/>
      <c r="AM68" s="96" t="n"/>
      <c r="AN68" s="96" t="n"/>
      <c r="AO68" s="96" t="n"/>
      <c r="AP68" s="96" t="n"/>
      <c r="AQ68" s="96" t="n"/>
      <c r="AR68" s="96" t="n"/>
      <c r="AS68" s="96" t="n"/>
      <c r="AT68" s="96" t="n"/>
      <c r="AU68" s="96" t="n"/>
      <c r="AV68" s="96" t="n"/>
      <c r="AW68" s="96" t="n"/>
      <c r="AX68" s="96" t="n"/>
      <c r="AY68" s="96" t="n"/>
      <c r="AZ68" s="96" t="n"/>
      <c r="BA68" s="96" t="n"/>
      <c r="BB68" s="96" t="n"/>
    </row>
    <row r="69" ht="22" customHeight="1" s="110">
      <c r="A69" s="97" t="n"/>
      <c r="B69" s="97" t="n"/>
      <c r="C69" s="97" t="n"/>
      <c r="D69" s="97" t="n"/>
      <c r="E69" s="97" t="n"/>
      <c r="F69" s="97" t="n"/>
      <c r="G69" s="97" t="n"/>
      <c r="H69" s="97" t="n"/>
      <c r="I69" s="97" t="n"/>
      <c r="J69" s="97" t="n"/>
      <c r="L69" s="97" t="n"/>
      <c r="M69" s="97" t="n"/>
      <c r="N69" s="97" t="n"/>
      <c r="O69" s="97" t="n"/>
      <c r="Q69" s="97" t="n"/>
      <c r="R69" s="97" t="n"/>
      <c r="S69" s="97" t="n"/>
      <c r="T69" s="97" t="n"/>
      <c r="U69" s="97" t="n"/>
      <c r="V69" s="97" t="n"/>
      <c r="W69" s="97" t="n"/>
      <c r="X69" s="97" t="n"/>
      <c r="Y69" s="97" t="n"/>
      <c r="Z69" s="97" t="n"/>
      <c r="AA69" s="97" t="n"/>
      <c r="AB69" s="97" t="n"/>
      <c r="AC69" s="97" t="n"/>
      <c r="AD69" s="97" t="n"/>
      <c r="AE69" s="97" t="n"/>
      <c r="AF69" s="97" t="n"/>
      <c r="AG69" s="97" t="n"/>
      <c r="AH69" s="97" t="n"/>
      <c r="AI69" s="97" t="n"/>
      <c r="AJ69" s="97" t="n"/>
      <c r="AK69" s="97" t="n"/>
      <c r="AL69" s="97" t="n"/>
      <c r="AM69" s="97" t="n"/>
      <c r="AN69" s="97" t="n"/>
      <c r="AO69" s="97" t="n"/>
      <c r="AP69" s="97" t="n"/>
      <c r="AQ69" s="97" t="n"/>
      <c r="AR69" s="97" t="n"/>
      <c r="AS69" s="97" t="n"/>
      <c r="AT69" s="97" t="n"/>
      <c r="AU69" s="97" t="n"/>
      <c r="AV69" s="97" t="n"/>
      <c r="AW69" s="97" t="n"/>
      <c r="AX69" s="97" t="n"/>
      <c r="AY69" s="97" t="n"/>
      <c r="AZ69" s="97" t="n"/>
      <c r="BA69" s="97" t="n"/>
      <c r="BB69" s="97" t="n"/>
    </row>
    <row r="70" ht="22" customHeight="1" s="110">
      <c r="A70" s="96" t="n"/>
      <c r="B70" s="96" t="n"/>
      <c r="C70" s="96" t="n"/>
      <c r="D70" s="96" t="n"/>
      <c r="E70" s="96" t="n"/>
      <c r="F70" s="96" t="n"/>
      <c r="G70" s="96" t="n"/>
      <c r="H70" s="96" t="n"/>
      <c r="I70" s="96" t="n"/>
      <c r="J70" s="96" t="n"/>
      <c r="L70" s="96" t="n"/>
      <c r="M70" s="96" t="n"/>
      <c r="N70" s="96" t="n"/>
      <c r="O70" s="96" t="n"/>
      <c r="Q70" s="96" t="n"/>
      <c r="R70" s="96" t="n"/>
      <c r="S70" s="96" t="n"/>
      <c r="T70" s="96" t="n"/>
      <c r="U70" s="96" t="n"/>
      <c r="V70" s="96" t="n"/>
      <c r="W70" s="96" t="n"/>
      <c r="X70" s="96" t="n"/>
      <c r="Y70" s="96" t="n"/>
      <c r="Z70" s="96" t="n"/>
      <c r="AA70" s="96" t="n"/>
      <c r="AB70" s="96" t="n"/>
      <c r="AC70" s="96" t="n"/>
      <c r="AD70" s="96" t="n"/>
      <c r="AE70" s="96" t="n"/>
      <c r="AF70" s="96" t="n"/>
      <c r="AG70" s="96" t="n"/>
      <c r="AH70" s="96" t="n"/>
      <c r="AI70" s="96" t="n"/>
      <c r="AJ70" s="96" t="n"/>
      <c r="AK70" s="96" t="n"/>
      <c r="AL70" s="96" t="n"/>
      <c r="AM70" s="96" t="n"/>
      <c r="AN70" s="96" t="n"/>
      <c r="AO70" s="96" t="n"/>
      <c r="AP70" s="96" t="n"/>
      <c r="AQ70" s="96" t="n"/>
      <c r="AR70" s="96" t="n"/>
      <c r="AS70" s="96" t="n"/>
      <c r="AT70" s="96" t="n"/>
      <c r="AU70" s="96" t="n"/>
      <c r="AV70" s="96" t="n"/>
      <c r="AW70" s="96" t="n"/>
      <c r="AX70" s="96" t="n"/>
      <c r="AY70" s="96" t="n"/>
      <c r="AZ70" s="96" t="n"/>
      <c r="BA70" s="96" t="n"/>
      <c r="BB70" s="96" t="n"/>
    </row>
    <row r="71" ht="22" customHeight="1" s="110">
      <c r="A71" s="97" t="n"/>
      <c r="B71" s="97" t="n"/>
      <c r="C71" s="97" t="n"/>
      <c r="D71" s="97" t="n"/>
      <c r="E71" s="97" t="n"/>
      <c r="F71" s="97" t="n"/>
      <c r="G71" s="97" t="n"/>
      <c r="H71" s="97" t="n"/>
      <c r="I71" s="97" t="n"/>
      <c r="J71" s="97" t="n"/>
      <c r="L71" s="97" t="n"/>
      <c r="M71" s="97" t="n"/>
      <c r="N71" s="97" t="n"/>
      <c r="O71" s="97" t="n"/>
      <c r="Q71" s="97" t="n"/>
      <c r="R71" s="97" t="n"/>
      <c r="S71" s="97" t="n"/>
      <c r="T71" s="97" t="n"/>
      <c r="U71" s="97" t="n"/>
      <c r="V71" s="97" t="n"/>
      <c r="W71" s="97" t="n"/>
      <c r="X71" s="97" t="n"/>
      <c r="Y71" s="97" t="n"/>
      <c r="Z71" s="97" t="n"/>
      <c r="AA71" s="97" t="n"/>
      <c r="AB71" s="97" t="n"/>
      <c r="AC71" s="97" t="n"/>
      <c r="AD71" s="97" t="n"/>
      <c r="AE71" s="97" t="n"/>
      <c r="AF71" s="97" t="n"/>
      <c r="AG71" s="97" t="n"/>
      <c r="AH71" s="97" t="n"/>
      <c r="AI71" s="97" t="n"/>
      <c r="AJ71" s="97" t="n"/>
      <c r="AK71" s="97" t="n"/>
      <c r="AL71" s="97" t="n"/>
      <c r="AM71" s="97" t="n"/>
      <c r="AN71" s="97" t="n"/>
      <c r="AO71" s="97" t="n"/>
      <c r="AP71" s="97" t="n"/>
      <c r="AQ71" s="97" t="n"/>
      <c r="AR71" s="97" t="n"/>
      <c r="AS71" s="97" t="n"/>
      <c r="AT71" s="97" t="n"/>
      <c r="AU71" s="97" t="n"/>
      <c r="AV71" s="97" t="n"/>
      <c r="AW71" s="97" t="n"/>
      <c r="AX71" s="97" t="n"/>
      <c r="AY71" s="97" t="n"/>
      <c r="AZ71" s="97" t="n"/>
      <c r="BA71" s="97" t="n"/>
      <c r="BB71" s="97" t="n"/>
    </row>
    <row r="72" ht="22" customHeight="1" s="110">
      <c r="A72" s="96" t="n"/>
      <c r="B72" s="96" t="n"/>
      <c r="C72" s="96" t="n"/>
      <c r="D72" s="96" t="n"/>
      <c r="E72" s="96" t="n"/>
      <c r="F72" s="96" t="n"/>
      <c r="G72" s="96" t="n"/>
      <c r="H72" s="96" t="n"/>
      <c r="I72" s="96" t="n"/>
      <c r="J72" s="96" t="n"/>
      <c r="L72" s="96" t="n"/>
      <c r="M72" s="96" t="n"/>
      <c r="N72" s="96" t="n"/>
      <c r="O72" s="96" t="n"/>
      <c r="Q72" s="96" t="n"/>
      <c r="R72" s="96" t="n"/>
      <c r="S72" s="96" t="n"/>
      <c r="T72" s="96" t="n"/>
      <c r="U72" s="96" t="n"/>
      <c r="V72" s="96" t="n"/>
      <c r="W72" s="96" t="n"/>
      <c r="X72" s="96" t="n"/>
      <c r="Y72" s="96" t="n"/>
      <c r="Z72" s="96" t="n"/>
      <c r="AA72" s="96" t="n"/>
      <c r="AB72" s="96" t="n"/>
      <c r="AC72" s="96" t="n"/>
      <c r="AD72" s="96" t="n"/>
      <c r="AE72" s="96" t="n"/>
      <c r="AF72" s="96" t="n"/>
      <c r="AG72" s="96" t="n"/>
      <c r="AH72" s="96" t="n"/>
      <c r="AI72" s="96" t="n"/>
      <c r="AJ72" s="96" t="n"/>
      <c r="AK72" s="96" t="n"/>
      <c r="AL72" s="96" t="n"/>
      <c r="AM72" s="96" t="n"/>
      <c r="AN72" s="96" t="n"/>
      <c r="AO72" s="96" t="n"/>
      <c r="AP72" s="96" t="n"/>
      <c r="AQ72" s="96" t="n"/>
      <c r="AR72" s="96" t="n"/>
      <c r="AS72" s="96" t="n"/>
      <c r="AT72" s="96" t="n"/>
      <c r="AU72" s="96" t="n"/>
      <c r="AV72" s="96" t="n"/>
      <c r="AW72" s="96" t="n"/>
      <c r="AX72" s="96" t="n"/>
      <c r="AY72" s="96" t="n"/>
      <c r="AZ72" s="96" t="n"/>
      <c r="BA72" s="96" t="n"/>
      <c r="BB72" s="96" t="n"/>
    </row>
    <row r="73" ht="22" customHeight="1" s="110">
      <c r="A73" s="97" t="n"/>
      <c r="B73" s="97" t="n"/>
      <c r="C73" s="97" t="n"/>
      <c r="D73" s="97" t="n"/>
      <c r="E73" s="97" t="n"/>
      <c r="F73" s="97" t="n"/>
      <c r="G73" s="97" t="n"/>
      <c r="H73" s="97" t="n"/>
      <c r="I73" s="97" t="n"/>
      <c r="J73" s="97" t="n"/>
      <c r="L73" s="97" t="n"/>
      <c r="M73" s="97" t="n"/>
      <c r="N73" s="97" t="n"/>
      <c r="O73" s="97" t="n"/>
      <c r="Q73" s="97" t="n"/>
      <c r="R73" s="97" t="n"/>
      <c r="S73" s="97" t="n"/>
      <c r="T73" s="97" t="n"/>
      <c r="U73" s="97" t="n"/>
      <c r="V73" s="97" t="n"/>
      <c r="W73" s="97" t="n"/>
      <c r="X73" s="97" t="n"/>
      <c r="Y73" s="97" t="n"/>
      <c r="Z73" s="97" t="n"/>
      <c r="AA73" s="97" t="n"/>
      <c r="AB73" s="97" t="n"/>
      <c r="AC73" s="97" t="n"/>
      <c r="AD73" s="97" t="n"/>
      <c r="AE73" s="97" t="n"/>
      <c r="AF73" s="97" t="n"/>
      <c r="AG73" s="97" t="n"/>
      <c r="AH73" s="97" t="n"/>
      <c r="AI73" s="97" t="n"/>
      <c r="AJ73" s="97" t="n"/>
      <c r="AK73" s="97" t="n"/>
      <c r="AL73" s="97" t="n"/>
      <c r="AM73" s="97" t="n"/>
      <c r="AN73" s="97" t="n"/>
      <c r="AO73" s="97" t="n"/>
      <c r="AP73" s="97" t="n"/>
      <c r="AQ73" s="97" t="n"/>
      <c r="AR73" s="97" t="n"/>
      <c r="AS73" s="97" t="n"/>
      <c r="AT73" s="97" t="n"/>
      <c r="AU73" s="97" t="n"/>
      <c r="AV73" s="97" t="n"/>
      <c r="AW73" s="97" t="n"/>
      <c r="AX73" s="97" t="n"/>
      <c r="AY73" s="97" t="n"/>
      <c r="AZ73" s="97" t="n"/>
      <c r="BA73" s="97" t="n"/>
      <c r="BB73" s="97" t="n"/>
    </row>
    <row r="74" ht="22" customHeight="1" s="110">
      <c r="A74" s="96" t="n"/>
      <c r="B74" s="96" t="n"/>
      <c r="C74" s="96" t="n"/>
      <c r="D74" s="96" t="n"/>
      <c r="E74" s="96" t="n"/>
      <c r="F74" s="96" t="n"/>
      <c r="G74" s="96" t="n"/>
      <c r="H74" s="96" t="n"/>
      <c r="I74" s="96" t="n"/>
      <c r="J74" s="96" t="n"/>
      <c r="L74" s="96" t="n"/>
      <c r="M74" s="96" t="n"/>
      <c r="N74" s="96" t="n"/>
      <c r="O74" s="96" t="n"/>
      <c r="Q74" s="96" t="n"/>
      <c r="R74" s="96" t="n"/>
      <c r="S74" s="96" t="n"/>
      <c r="T74" s="96" t="n"/>
      <c r="U74" s="96" t="n"/>
      <c r="V74" s="96" t="n"/>
      <c r="W74" s="96" t="n"/>
      <c r="X74" s="96" t="n"/>
      <c r="Y74" s="96" t="n"/>
      <c r="Z74" s="96" t="n"/>
      <c r="AA74" s="96" t="n"/>
      <c r="AB74" s="96" t="n"/>
      <c r="AC74" s="96" t="n"/>
      <c r="AD74" s="96" t="n"/>
      <c r="AE74" s="96" t="n"/>
      <c r="AF74" s="96" t="n"/>
      <c r="AG74" s="96" t="n"/>
      <c r="AH74" s="96" t="n"/>
      <c r="AI74" s="96" t="n"/>
      <c r="AJ74" s="96" t="n"/>
      <c r="AK74" s="96" t="n"/>
      <c r="AL74" s="96" t="n"/>
      <c r="AM74" s="96" t="n"/>
      <c r="AN74" s="96" t="n"/>
      <c r="AO74" s="96" t="n"/>
      <c r="AP74" s="96" t="n"/>
      <c r="AQ74" s="96" t="n"/>
      <c r="AR74" s="96" t="n"/>
      <c r="AS74" s="96" t="n"/>
      <c r="AT74" s="96" t="n"/>
      <c r="AU74" s="96" t="n"/>
      <c r="AV74" s="96" t="n"/>
      <c r="AW74" s="96" t="n"/>
      <c r="AX74" s="96" t="n"/>
      <c r="AY74" s="96" t="n"/>
      <c r="AZ74" s="96" t="n"/>
      <c r="BA74" s="96" t="n"/>
      <c r="BB74" s="96" t="n"/>
    </row>
    <row r="75" ht="22" customHeight="1" s="110">
      <c r="A75" s="97" t="n"/>
      <c r="B75" s="97" t="n"/>
      <c r="C75" s="97" t="n"/>
      <c r="D75" s="97" t="n"/>
      <c r="E75" s="97" t="n"/>
      <c r="F75" s="97" t="n"/>
      <c r="G75" s="97" t="n"/>
      <c r="H75" s="97" t="n"/>
      <c r="I75" s="97" t="n"/>
      <c r="J75" s="97" t="n"/>
      <c r="L75" s="97" t="n"/>
      <c r="M75" s="97" t="n"/>
      <c r="N75" s="97" t="n"/>
      <c r="O75" s="97" t="n"/>
      <c r="Q75" s="97" t="n"/>
      <c r="R75" s="97" t="n"/>
      <c r="S75" s="97" t="n"/>
      <c r="T75" s="97" t="n"/>
      <c r="U75" s="97" t="n"/>
      <c r="V75" s="97" t="n"/>
      <c r="W75" s="97" t="n"/>
      <c r="X75" s="97" t="n"/>
      <c r="Y75" s="97" t="n"/>
      <c r="Z75" s="97" t="n"/>
      <c r="AA75" s="97" t="n"/>
      <c r="AB75" s="97" t="n"/>
      <c r="AC75" s="97" t="n"/>
      <c r="AD75" s="97" t="n"/>
      <c r="AE75" s="97" t="n"/>
      <c r="AF75" s="97" t="n"/>
      <c r="AG75" s="97" t="n"/>
      <c r="AH75" s="97" t="n"/>
      <c r="AI75" s="97" t="n"/>
      <c r="AJ75" s="97" t="n"/>
      <c r="AK75" s="97" t="n"/>
      <c r="AL75" s="97" t="n"/>
      <c r="AM75" s="97" t="n"/>
      <c r="AN75" s="97" t="n"/>
      <c r="AO75" s="97" t="n"/>
      <c r="AP75" s="97" t="n"/>
      <c r="AQ75" s="97" t="n"/>
      <c r="AR75" s="97" t="n"/>
      <c r="AS75" s="97" t="n"/>
      <c r="AT75" s="97" t="n"/>
      <c r="AU75" s="97" t="n"/>
      <c r="AV75" s="97" t="n"/>
      <c r="AW75" s="97" t="n"/>
      <c r="AX75" s="97" t="n"/>
      <c r="AY75" s="97" t="n"/>
      <c r="AZ75" s="97" t="n"/>
      <c r="BA75" s="97" t="n"/>
      <c r="BB75" s="97" t="n"/>
    </row>
    <row r="76" ht="22" customHeight="1" s="110">
      <c r="A76" s="96" t="n"/>
      <c r="B76" s="96" t="n"/>
      <c r="C76" s="96" t="n"/>
      <c r="D76" s="96" t="n"/>
      <c r="E76" s="96" t="n"/>
      <c r="F76" s="96" t="n"/>
      <c r="G76" s="96" t="n"/>
      <c r="H76" s="96" t="n"/>
      <c r="I76" s="96" t="n"/>
      <c r="J76" s="96" t="n"/>
      <c r="L76" s="96" t="n"/>
      <c r="M76" s="96" t="n"/>
      <c r="N76" s="96" t="n"/>
      <c r="O76" s="96" t="n"/>
      <c r="Q76" s="96" t="n"/>
      <c r="R76" s="96" t="n"/>
      <c r="S76" s="96" t="n"/>
      <c r="T76" s="96" t="n"/>
      <c r="U76" s="96" t="n"/>
      <c r="V76" s="96" t="n"/>
      <c r="W76" s="96" t="n"/>
      <c r="X76" s="96" t="n"/>
      <c r="Y76" s="96" t="n"/>
      <c r="Z76" s="96" t="n"/>
      <c r="AA76" s="96" t="n"/>
      <c r="AB76" s="96" t="n"/>
      <c r="AC76" s="96" t="n"/>
      <c r="AD76" s="96" t="n"/>
      <c r="AE76" s="96" t="n"/>
      <c r="AF76" s="96" t="n"/>
      <c r="AG76" s="96" t="n"/>
      <c r="AH76" s="96" t="n"/>
      <c r="AI76" s="96" t="n"/>
      <c r="AJ76" s="96" t="n"/>
      <c r="AK76" s="96" t="n"/>
      <c r="AL76" s="96" t="n"/>
      <c r="AM76" s="96" t="n"/>
      <c r="AN76" s="96" t="n"/>
      <c r="AO76" s="96" t="n"/>
      <c r="AP76" s="96" t="n"/>
      <c r="AQ76" s="96" t="n"/>
      <c r="AR76" s="96" t="n"/>
      <c r="AS76" s="96" t="n"/>
      <c r="AT76" s="96" t="n"/>
      <c r="AU76" s="96" t="n"/>
      <c r="AV76" s="96" t="n"/>
      <c r="AW76" s="96" t="n"/>
      <c r="AX76" s="96" t="n"/>
      <c r="AY76" s="96" t="n"/>
      <c r="AZ76" s="96" t="n"/>
      <c r="BA76" s="96" t="n"/>
      <c r="BB76" s="96" t="n"/>
    </row>
    <row r="77" ht="22" customHeight="1" s="110">
      <c r="A77" s="97" t="n"/>
      <c r="B77" s="97" t="n"/>
      <c r="C77" s="97" t="n"/>
      <c r="D77" s="97" t="n"/>
      <c r="E77" s="97" t="n"/>
      <c r="F77" s="97" t="n"/>
      <c r="G77" s="97" t="n"/>
      <c r="H77" s="97" t="n"/>
      <c r="I77" s="97" t="n"/>
      <c r="J77" s="97" t="n"/>
      <c r="L77" s="97" t="n"/>
      <c r="M77" s="97" t="n"/>
      <c r="N77" s="97" t="n"/>
      <c r="O77" s="97" t="n"/>
      <c r="Q77" s="97" t="n"/>
      <c r="R77" s="97" t="n"/>
      <c r="S77" s="97" t="n"/>
      <c r="T77" s="97" t="n"/>
      <c r="U77" s="97" t="n"/>
      <c r="V77" s="97" t="n"/>
      <c r="W77" s="97" t="n"/>
      <c r="X77" s="97" t="n"/>
      <c r="Y77" s="97" t="n"/>
      <c r="Z77" s="97" t="n"/>
      <c r="AA77" s="97" t="n"/>
      <c r="AB77" s="97" t="n"/>
      <c r="AC77" s="97" t="n"/>
      <c r="AD77" s="97" t="n"/>
      <c r="AE77" s="97" t="n"/>
      <c r="AF77" s="97" t="n"/>
      <c r="AG77" s="97" t="n"/>
      <c r="AH77" s="97" t="n"/>
      <c r="AI77" s="97" t="n"/>
      <c r="AJ77" s="97" t="n"/>
      <c r="AK77" s="97" t="n"/>
      <c r="AL77" s="97" t="n"/>
      <c r="AM77" s="97" t="n"/>
      <c r="AN77" s="97" t="n"/>
      <c r="AO77" s="97" t="n"/>
      <c r="AP77" s="97" t="n"/>
      <c r="AQ77" s="97" t="n"/>
      <c r="AR77" s="97" t="n"/>
      <c r="AS77" s="97" t="n"/>
      <c r="AT77" s="97" t="n"/>
      <c r="AU77" s="97" t="n"/>
      <c r="AV77" s="97" t="n"/>
      <c r="AW77" s="97" t="n"/>
      <c r="AX77" s="97" t="n"/>
      <c r="AY77" s="97" t="n"/>
      <c r="AZ77" s="97" t="n"/>
      <c r="BA77" s="97" t="n"/>
      <c r="BB77" s="97" t="n"/>
    </row>
    <row r="78" ht="22" customHeight="1" s="110">
      <c r="A78" s="96" t="n"/>
      <c r="B78" s="96" t="n"/>
      <c r="C78" s="96" t="n"/>
      <c r="D78" s="96" t="n"/>
      <c r="E78" s="96" t="n"/>
      <c r="F78" s="96" t="n"/>
      <c r="G78" s="96" t="n"/>
      <c r="H78" s="96" t="n"/>
      <c r="I78" s="96" t="n"/>
      <c r="J78" s="96" t="n"/>
      <c r="L78" s="96" t="n"/>
      <c r="M78" s="96" t="n"/>
      <c r="N78" s="96" t="n"/>
      <c r="O78" s="96" t="n"/>
      <c r="Q78" s="96" t="n"/>
      <c r="R78" s="96" t="n"/>
      <c r="S78" s="96" t="n"/>
      <c r="T78" s="96" t="n"/>
      <c r="U78" s="96" t="n"/>
      <c r="V78" s="96" t="n"/>
      <c r="W78" s="96" t="n"/>
      <c r="X78" s="96" t="n"/>
      <c r="Y78" s="96" t="n"/>
      <c r="Z78" s="96" t="n"/>
      <c r="AA78" s="96" t="n"/>
      <c r="AB78" s="96" t="n"/>
      <c r="AC78" s="96" t="n"/>
      <c r="AD78" s="96" t="n"/>
      <c r="AE78" s="96" t="n"/>
      <c r="AF78" s="96" t="n"/>
      <c r="AG78" s="96" t="n"/>
      <c r="AH78" s="96" t="n"/>
      <c r="AI78" s="96" t="n"/>
      <c r="AJ78" s="96" t="n"/>
      <c r="AK78" s="96" t="n"/>
      <c r="AL78" s="96" t="n"/>
      <c r="AM78" s="96" t="n"/>
      <c r="AN78" s="96" t="n"/>
      <c r="AO78" s="96" t="n"/>
      <c r="AP78" s="96" t="n"/>
      <c r="AQ78" s="96" t="n"/>
      <c r="AR78" s="96" t="n"/>
      <c r="AS78" s="96" t="n"/>
      <c r="AT78" s="96" t="n"/>
      <c r="AU78" s="96" t="n"/>
      <c r="AV78" s="96" t="n"/>
      <c r="AW78" s="96" t="n"/>
      <c r="AX78" s="96" t="n"/>
      <c r="AY78" s="96" t="n"/>
      <c r="AZ78" s="96" t="n"/>
      <c r="BA78" s="96" t="n"/>
      <c r="BB78" s="96" t="n"/>
    </row>
    <row r="79" ht="22" customHeight="1" s="110">
      <c r="A79" s="97" t="n"/>
      <c r="B79" s="97" t="n"/>
      <c r="C79" s="97" t="n"/>
      <c r="D79" s="97" t="n"/>
      <c r="E79" s="97" t="n"/>
      <c r="F79" s="97" t="n"/>
      <c r="G79" s="97" t="n"/>
      <c r="H79" s="97" t="n"/>
      <c r="I79" s="97" t="n"/>
      <c r="J79" s="97" t="n"/>
      <c r="L79" s="97" t="n"/>
      <c r="M79" s="97" t="n"/>
      <c r="N79" s="97" t="n"/>
      <c r="O79" s="97" t="n"/>
      <c r="Q79" s="97" t="n"/>
      <c r="R79" s="97" t="n"/>
      <c r="S79" s="97" t="n"/>
      <c r="T79" s="97" t="n"/>
      <c r="U79" s="97" t="n"/>
      <c r="V79" s="97" t="n"/>
      <c r="W79" s="97" t="n"/>
      <c r="X79" s="97" t="n"/>
      <c r="Y79" s="97" t="n"/>
      <c r="Z79" s="97" t="n"/>
      <c r="AA79" s="97" t="n"/>
      <c r="AB79" s="97" t="n"/>
      <c r="AC79" s="97" t="n"/>
      <c r="AD79" s="97" t="n"/>
      <c r="AE79" s="97" t="n"/>
      <c r="AF79" s="97" t="n"/>
      <c r="AG79" s="97" t="n"/>
      <c r="AH79" s="97" t="n"/>
      <c r="AI79" s="97" t="n"/>
      <c r="AJ79" s="97" t="n"/>
      <c r="AK79" s="97" t="n"/>
      <c r="AL79" s="97" t="n"/>
      <c r="AM79" s="97" t="n"/>
      <c r="AN79" s="97" t="n"/>
      <c r="AO79" s="97" t="n"/>
      <c r="AP79" s="97" t="n"/>
      <c r="AQ79" s="97" t="n"/>
      <c r="AR79" s="97" t="n"/>
      <c r="AS79" s="97" t="n"/>
      <c r="AT79" s="97" t="n"/>
      <c r="AU79" s="97" t="n"/>
      <c r="AV79" s="97" t="n"/>
      <c r="AW79" s="97" t="n"/>
      <c r="AX79" s="97" t="n"/>
      <c r="AY79" s="97" t="n"/>
      <c r="AZ79" s="97" t="n"/>
      <c r="BA79" s="97" t="n"/>
      <c r="BB79" s="97" t="n"/>
    </row>
    <row r="80" ht="22" customHeight="1" s="110">
      <c r="A80" s="96" t="n"/>
      <c r="B80" s="96" t="n"/>
      <c r="C80" s="96" t="n"/>
      <c r="D80" s="96" t="n"/>
      <c r="E80" s="96" t="n"/>
      <c r="F80" s="96" t="n"/>
      <c r="G80" s="96" t="n"/>
      <c r="H80" s="96" t="n"/>
      <c r="I80" s="96" t="n"/>
      <c r="J80" s="96" t="n"/>
      <c r="L80" s="96" t="n"/>
      <c r="M80" s="96" t="n"/>
      <c r="N80" s="96" t="n"/>
      <c r="O80" s="96" t="n"/>
      <c r="Q80" s="96" t="n"/>
      <c r="R80" s="96" t="n"/>
      <c r="S80" s="96" t="n"/>
      <c r="T80" s="96" t="n"/>
      <c r="U80" s="96" t="n"/>
      <c r="V80" s="96" t="n"/>
      <c r="W80" s="96" t="n"/>
      <c r="X80" s="96" t="n"/>
      <c r="Y80" s="96" t="n"/>
      <c r="Z80" s="96" t="n"/>
      <c r="AA80" s="96" t="n"/>
      <c r="AB80" s="96" t="n"/>
      <c r="AC80" s="96" t="n"/>
      <c r="AD80" s="96" t="n"/>
      <c r="AE80" s="96" t="n"/>
      <c r="AF80" s="96" t="n"/>
      <c r="AG80" s="96" t="n"/>
      <c r="AH80" s="96" t="n"/>
      <c r="AI80" s="96" t="n"/>
      <c r="AJ80" s="96" t="n"/>
      <c r="AK80" s="96" t="n"/>
      <c r="AL80" s="96" t="n"/>
      <c r="AM80" s="96" t="n"/>
      <c r="AN80" s="96" t="n"/>
      <c r="AO80" s="96" t="n"/>
      <c r="AP80" s="96" t="n"/>
      <c r="AQ80" s="96" t="n"/>
      <c r="AR80" s="96" t="n"/>
      <c r="AS80" s="96" t="n"/>
      <c r="AT80" s="96" t="n"/>
      <c r="AU80" s="96" t="n"/>
      <c r="AV80" s="96" t="n"/>
      <c r="AW80" s="96" t="n"/>
      <c r="AX80" s="96" t="n"/>
      <c r="AY80" s="96" t="n"/>
      <c r="AZ80" s="96" t="n"/>
      <c r="BA80" s="96" t="n"/>
      <c r="BB80" s="96" t="n"/>
    </row>
    <row r="81" ht="22" customHeight="1" s="110">
      <c r="A81" s="97" t="n"/>
      <c r="B81" s="97" t="n"/>
      <c r="C81" s="97" t="n"/>
      <c r="D81" s="97" t="n"/>
      <c r="E81" s="97" t="n"/>
      <c r="F81" s="97" t="n"/>
      <c r="G81" s="97" t="n"/>
      <c r="H81" s="97" t="n"/>
      <c r="I81" s="97" t="n"/>
      <c r="J81" s="97" t="n"/>
      <c r="L81" s="97" t="n"/>
      <c r="M81" s="97" t="n"/>
      <c r="N81" s="97" t="n"/>
      <c r="O81" s="97" t="n"/>
      <c r="Q81" s="97" t="n"/>
      <c r="R81" s="97" t="n"/>
      <c r="S81" s="97" t="n"/>
      <c r="T81" s="97" t="n"/>
      <c r="U81" s="97" t="n"/>
      <c r="V81" s="97" t="n"/>
      <c r="W81" s="97" t="n"/>
      <c r="X81" s="97" t="n"/>
      <c r="Y81" s="97" t="n"/>
      <c r="Z81" s="97" t="n"/>
      <c r="AA81" s="97" t="n"/>
      <c r="AB81" s="97" t="n"/>
      <c r="AC81" s="97" t="n"/>
      <c r="AD81" s="97" t="n"/>
      <c r="AE81" s="97" t="n"/>
      <c r="AF81" s="97" t="n"/>
      <c r="AG81" s="97" t="n"/>
      <c r="AH81" s="97" t="n"/>
      <c r="AI81" s="97" t="n"/>
      <c r="AJ81" s="97" t="n"/>
      <c r="AK81" s="97" t="n"/>
      <c r="AL81" s="97" t="n"/>
      <c r="AM81" s="97" t="n"/>
      <c r="AN81" s="97" t="n"/>
      <c r="AO81" s="97" t="n"/>
      <c r="AP81" s="97" t="n"/>
      <c r="AQ81" s="97" t="n"/>
      <c r="AR81" s="97" t="n"/>
      <c r="AS81" s="97" t="n"/>
      <c r="AT81" s="97" t="n"/>
      <c r="AU81" s="97" t="n"/>
      <c r="AV81" s="97" t="n"/>
      <c r="AW81" s="97" t="n"/>
      <c r="AX81" s="97" t="n"/>
      <c r="AY81" s="97" t="n"/>
      <c r="AZ81" s="97" t="n"/>
      <c r="BA81" s="97" t="n"/>
      <c r="BB81" s="97" t="n"/>
    </row>
    <row r="82" ht="22" customHeight="1" s="110">
      <c r="A82" s="96" t="n"/>
      <c r="B82" s="96" t="n"/>
      <c r="C82" s="96" t="n"/>
      <c r="D82" s="96" t="n"/>
      <c r="E82" s="96" t="n"/>
      <c r="F82" s="96" t="n"/>
      <c r="G82" s="96" t="n"/>
      <c r="H82" s="96" t="n"/>
      <c r="I82" s="96" t="n"/>
      <c r="J82" s="96" t="n"/>
      <c r="L82" s="96" t="n"/>
      <c r="M82" s="96" t="n"/>
      <c r="N82" s="96" t="n"/>
      <c r="O82" s="96" t="n"/>
      <c r="Q82" s="96" t="n"/>
      <c r="R82" s="96" t="n"/>
      <c r="S82" s="96" t="n"/>
      <c r="T82" s="96" t="n"/>
      <c r="U82" s="96" t="n"/>
      <c r="V82" s="96" t="n"/>
      <c r="W82" s="96" t="n"/>
      <c r="X82" s="96" t="n"/>
      <c r="Y82" s="96" t="n"/>
      <c r="Z82" s="96" t="n"/>
      <c r="AA82" s="96" t="n"/>
      <c r="AB82" s="96" t="n"/>
      <c r="AC82" s="96" t="n"/>
      <c r="AD82" s="96" t="n"/>
      <c r="AE82" s="96" t="n"/>
      <c r="AF82" s="96" t="n"/>
      <c r="AG82" s="96" t="n"/>
      <c r="AH82" s="96" t="n"/>
      <c r="AI82" s="96" t="n"/>
      <c r="AJ82" s="96" t="n"/>
      <c r="AK82" s="96" t="n"/>
      <c r="AL82" s="96" t="n"/>
      <c r="AM82" s="96" t="n"/>
      <c r="AN82" s="96" t="n"/>
      <c r="AO82" s="96" t="n"/>
      <c r="AP82" s="96" t="n"/>
      <c r="AQ82" s="96" t="n"/>
      <c r="AR82" s="96" t="n"/>
      <c r="AS82" s="96" t="n"/>
      <c r="AT82" s="96" t="n"/>
      <c r="AU82" s="96" t="n"/>
      <c r="AV82" s="96" t="n"/>
      <c r="AW82" s="96" t="n"/>
      <c r="AX82" s="96" t="n"/>
      <c r="AY82" s="96" t="n"/>
      <c r="AZ82" s="96" t="n"/>
      <c r="BA82" s="96" t="n"/>
      <c r="BB82" s="96" t="n"/>
    </row>
    <row r="83" ht="22" customHeight="1" s="110">
      <c r="A83" s="97" t="n"/>
      <c r="B83" s="97" t="n"/>
      <c r="C83" s="97" t="n"/>
      <c r="D83" s="97" t="n"/>
      <c r="E83" s="97" t="n"/>
      <c r="F83" s="97" t="n"/>
      <c r="G83" s="97" t="n"/>
      <c r="H83" s="97" t="n"/>
      <c r="I83" s="97" t="n"/>
      <c r="J83" s="97" t="n"/>
      <c r="L83" s="97" t="n"/>
      <c r="M83" s="97" t="n"/>
      <c r="N83" s="97" t="n"/>
      <c r="O83" s="97" t="n"/>
      <c r="Q83" s="97" t="n"/>
      <c r="R83" s="97" t="n"/>
      <c r="S83" s="97" t="n"/>
      <c r="T83" s="97" t="n"/>
      <c r="U83" s="97" t="n"/>
      <c r="V83" s="97" t="n"/>
      <c r="W83" s="97" t="n"/>
      <c r="X83" s="97" t="n"/>
      <c r="Y83" s="97" t="n"/>
      <c r="Z83" s="97" t="n"/>
      <c r="AA83" s="97" t="n"/>
      <c r="AB83" s="97" t="n"/>
      <c r="AC83" s="97" t="n"/>
      <c r="AD83" s="97" t="n"/>
      <c r="AE83" s="97" t="n"/>
      <c r="AF83" s="97" t="n"/>
      <c r="AG83" s="97" t="n"/>
      <c r="AH83" s="97" t="n"/>
      <c r="AI83" s="97" t="n"/>
      <c r="AJ83" s="97" t="n"/>
      <c r="AK83" s="97" t="n"/>
      <c r="AL83" s="97" t="n"/>
      <c r="AM83" s="97" t="n"/>
      <c r="AN83" s="97" t="n"/>
      <c r="AO83" s="97" t="n"/>
      <c r="AP83" s="97" t="n"/>
      <c r="AQ83" s="97" t="n"/>
      <c r="AR83" s="97" t="n"/>
      <c r="AS83" s="97" t="n"/>
      <c r="AT83" s="97" t="n"/>
      <c r="AU83" s="97" t="n"/>
      <c r="AV83" s="97" t="n"/>
      <c r="AW83" s="97" t="n"/>
      <c r="AX83" s="97" t="n"/>
      <c r="AY83" s="97" t="n"/>
      <c r="AZ83" s="97" t="n"/>
      <c r="BA83" s="97" t="n"/>
      <c r="BB83" s="97" t="n"/>
    </row>
    <row r="84" ht="22" customHeight="1" s="110">
      <c r="A84" s="96" t="n"/>
      <c r="B84" s="96" t="n"/>
      <c r="C84" s="96" t="n"/>
      <c r="D84" s="96" t="n"/>
      <c r="E84" s="96" t="n"/>
      <c r="F84" s="96" t="n"/>
      <c r="G84" s="96" t="n"/>
      <c r="H84" s="96" t="n"/>
      <c r="I84" s="96" t="n"/>
      <c r="J84" s="96" t="n"/>
      <c r="L84" s="96" t="n"/>
      <c r="M84" s="96" t="n"/>
      <c r="N84" s="96" t="n"/>
      <c r="O84" s="96" t="n"/>
      <c r="Q84" s="96" t="n"/>
      <c r="R84" s="96" t="n"/>
      <c r="S84" s="96" t="n"/>
      <c r="T84" s="96" t="n"/>
      <c r="U84" s="96" t="n"/>
      <c r="V84" s="96" t="n"/>
      <c r="W84" s="96" t="n"/>
      <c r="X84" s="96" t="n"/>
      <c r="Y84" s="96" t="n"/>
      <c r="Z84" s="96" t="n"/>
      <c r="AA84" s="96" t="n"/>
      <c r="AB84" s="96" t="n"/>
      <c r="AC84" s="96" t="n"/>
      <c r="AD84" s="96" t="n"/>
      <c r="AE84" s="96" t="n"/>
      <c r="AF84" s="96" t="n"/>
      <c r="AG84" s="96" t="n"/>
      <c r="AH84" s="96" t="n"/>
      <c r="AI84" s="96" t="n"/>
      <c r="AJ84" s="96" t="n"/>
      <c r="AK84" s="96" t="n"/>
      <c r="AL84" s="96" t="n"/>
      <c r="AM84" s="96" t="n"/>
      <c r="AN84" s="96" t="n"/>
      <c r="AO84" s="96" t="n"/>
      <c r="AP84" s="96" t="n"/>
      <c r="AQ84" s="96" t="n"/>
      <c r="AR84" s="96" t="n"/>
      <c r="AS84" s="96" t="n"/>
      <c r="AT84" s="96" t="n"/>
      <c r="AU84" s="96" t="n"/>
      <c r="AV84" s="96" t="n"/>
      <c r="AW84" s="96" t="n"/>
      <c r="AX84" s="96" t="n"/>
      <c r="AY84" s="96" t="n"/>
      <c r="AZ84" s="96" t="n"/>
      <c r="BA84" s="96" t="n"/>
      <c r="BB84" s="96" t="n"/>
    </row>
    <row r="85" ht="22" customHeight="1" s="110">
      <c r="A85" s="97" t="n"/>
      <c r="B85" s="97" t="n"/>
      <c r="C85" s="97" t="n"/>
      <c r="D85" s="97" t="n"/>
      <c r="E85" s="97" t="n"/>
      <c r="F85" s="97" t="n"/>
      <c r="G85" s="97" t="n"/>
      <c r="H85" s="97" t="n"/>
      <c r="I85" s="97" t="n"/>
      <c r="J85" s="97" t="n"/>
      <c r="L85" s="97" t="n"/>
      <c r="M85" s="97" t="n"/>
      <c r="N85" s="97" t="n"/>
      <c r="O85" s="97" t="n"/>
      <c r="Q85" s="97" t="n"/>
      <c r="R85" s="97" t="n"/>
      <c r="S85" s="97" t="n"/>
      <c r="T85" s="97" t="n"/>
      <c r="U85" s="97" t="n"/>
      <c r="V85" s="97" t="n"/>
      <c r="W85" s="97" t="n"/>
      <c r="X85" s="97" t="n"/>
      <c r="Y85" s="97" t="n"/>
      <c r="Z85" s="97" t="n"/>
      <c r="AA85" s="97" t="n"/>
      <c r="AB85" s="97" t="n"/>
      <c r="AC85" s="97" t="n"/>
      <c r="AD85" s="97" t="n"/>
      <c r="AE85" s="97" t="n"/>
      <c r="AF85" s="97" t="n"/>
      <c r="AG85" s="97" t="n"/>
      <c r="AH85" s="97" t="n"/>
      <c r="AI85" s="97" t="n"/>
      <c r="AJ85" s="97" t="n"/>
      <c r="AK85" s="97" t="n"/>
      <c r="AL85" s="97" t="n"/>
      <c r="AM85" s="97" t="n"/>
      <c r="AN85" s="97" t="n"/>
      <c r="AO85" s="97" t="n"/>
      <c r="AP85" s="97" t="n"/>
      <c r="AQ85" s="97" t="n"/>
      <c r="AR85" s="97" t="n"/>
      <c r="AS85" s="97" t="n"/>
      <c r="AT85" s="97" t="n"/>
      <c r="AU85" s="97" t="n"/>
      <c r="AV85" s="97" t="n"/>
      <c r="AW85" s="97" t="n"/>
      <c r="AX85" s="97" t="n"/>
      <c r="AY85" s="97" t="n"/>
      <c r="AZ85" s="97" t="n"/>
      <c r="BA85" s="97" t="n"/>
      <c r="BB85" s="97" t="n"/>
    </row>
    <row r="86" ht="22" customHeight="1" s="110">
      <c r="A86" s="96" t="n"/>
      <c r="B86" s="96" t="n"/>
      <c r="C86" s="96" t="n"/>
      <c r="D86" s="96" t="n"/>
      <c r="E86" s="96" t="n"/>
      <c r="F86" s="96" t="n"/>
      <c r="G86" s="96" t="n"/>
      <c r="H86" s="96" t="n"/>
      <c r="I86" s="96" t="n"/>
      <c r="J86" s="96" t="n"/>
      <c r="L86" s="96" t="n"/>
      <c r="M86" s="96" t="n"/>
      <c r="N86" s="96" t="n"/>
      <c r="O86" s="96" t="n"/>
      <c r="Q86" s="96" t="n"/>
      <c r="R86" s="96" t="n"/>
      <c r="S86" s="96" t="n"/>
      <c r="T86" s="96" t="n"/>
      <c r="U86" s="96" t="n"/>
      <c r="V86" s="96" t="n"/>
      <c r="W86" s="96" t="n"/>
      <c r="X86" s="96" t="n"/>
      <c r="Y86" s="96" t="n"/>
      <c r="Z86" s="96" t="n"/>
      <c r="AA86" s="96" t="n"/>
      <c r="AB86" s="96" t="n"/>
      <c r="AC86" s="96" t="n"/>
      <c r="AD86" s="96" t="n"/>
      <c r="AE86" s="96" t="n"/>
      <c r="AF86" s="96" t="n"/>
      <c r="AG86" s="96" t="n"/>
      <c r="AH86" s="96" t="n"/>
      <c r="AI86" s="96" t="n"/>
      <c r="AJ86" s="96" t="n"/>
      <c r="AK86" s="96" t="n"/>
      <c r="AL86" s="96" t="n"/>
      <c r="AM86" s="96" t="n"/>
      <c r="AN86" s="96" t="n"/>
      <c r="AO86" s="96" t="n"/>
      <c r="AP86" s="96" t="n"/>
      <c r="AQ86" s="96" t="n"/>
      <c r="AR86" s="96" t="n"/>
      <c r="AS86" s="96" t="n"/>
      <c r="AT86" s="96" t="n"/>
      <c r="AU86" s="96" t="n"/>
      <c r="AV86" s="96" t="n"/>
      <c r="AW86" s="96" t="n"/>
      <c r="AX86" s="96" t="n"/>
      <c r="AY86" s="96" t="n"/>
      <c r="AZ86" s="96" t="n"/>
      <c r="BA86" s="96" t="n"/>
      <c r="BB86" s="96" t="n"/>
    </row>
    <row r="87" ht="22" customHeight="1" s="110">
      <c r="A87" s="97" t="n"/>
      <c r="B87" s="97" t="n"/>
      <c r="C87" s="97" t="n"/>
      <c r="D87" s="97" t="n"/>
      <c r="E87" s="97" t="n"/>
      <c r="F87" s="97" t="n"/>
      <c r="G87" s="97" t="n"/>
      <c r="H87" s="97" t="n"/>
      <c r="I87" s="97" t="n"/>
      <c r="J87" s="97" t="n"/>
      <c r="L87" s="97" t="n"/>
      <c r="M87" s="97" t="n"/>
      <c r="N87" s="97" t="n"/>
      <c r="O87" s="97" t="n"/>
      <c r="Q87" s="97" t="n"/>
      <c r="R87" s="97" t="n"/>
      <c r="S87" s="97" t="n"/>
      <c r="T87" s="97" t="n"/>
      <c r="U87" s="97" t="n"/>
      <c r="V87" s="97" t="n"/>
      <c r="W87" s="97" t="n"/>
      <c r="X87" s="97" t="n"/>
      <c r="Y87" s="97" t="n"/>
      <c r="Z87" s="97" t="n"/>
      <c r="AA87" s="97" t="n"/>
      <c r="AB87" s="97" t="n"/>
      <c r="AC87" s="97" t="n"/>
      <c r="AD87" s="97" t="n"/>
      <c r="AE87" s="97" t="n"/>
      <c r="AF87" s="97" t="n"/>
      <c r="AG87" s="97" t="n"/>
      <c r="AH87" s="97" t="n"/>
      <c r="AI87" s="97" t="n"/>
      <c r="AJ87" s="97" t="n"/>
      <c r="AK87" s="97" t="n"/>
      <c r="AL87" s="97" t="n"/>
      <c r="AM87" s="97" t="n"/>
      <c r="AN87" s="97" t="n"/>
      <c r="AO87" s="97" t="n"/>
      <c r="AP87" s="97" t="n"/>
      <c r="AQ87" s="97" t="n"/>
      <c r="AR87" s="97" t="n"/>
      <c r="AS87" s="97" t="n"/>
      <c r="AT87" s="97" t="n"/>
      <c r="AU87" s="97" t="n"/>
      <c r="AV87" s="97" t="n"/>
      <c r="AW87" s="97" t="n"/>
      <c r="AX87" s="97" t="n"/>
      <c r="AY87" s="97" t="n"/>
      <c r="AZ87" s="97" t="n"/>
      <c r="BA87" s="97" t="n"/>
      <c r="BB87" s="97" t="n"/>
    </row>
    <row r="88" ht="22" customHeight="1" s="110">
      <c r="A88" s="96" t="n"/>
      <c r="B88" s="96" t="n"/>
      <c r="C88" s="96" t="n"/>
      <c r="D88" s="96" t="n"/>
      <c r="E88" s="96" t="n"/>
      <c r="F88" s="96" t="n"/>
      <c r="G88" s="96" t="n"/>
      <c r="H88" s="96" t="n"/>
      <c r="I88" s="96" t="n"/>
      <c r="J88" s="96" t="n"/>
      <c r="L88" s="96" t="n"/>
      <c r="M88" s="96" t="n"/>
      <c r="N88" s="96" t="n"/>
      <c r="O88" s="96" t="n"/>
      <c r="Q88" s="96" t="n"/>
      <c r="R88" s="96" t="n"/>
      <c r="S88" s="96" t="n"/>
      <c r="T88" s="96" t="n"/>
      <c r="U88" s="96" t="n"/>
      <c r="V88" s="96" t="n"/>
      <c r="W88" s="96" t="n"/>
      <c r="X88" s="96" t="n"/>
      <c r="Y88" s="96" t="n"/>
      <c r="Z88" s="96" t="n"/>
      <c r="AA88" s="96" t="n"/>
      <c r="AB88" s="96" t="n"/>
      <c r="AC88" s="96" t="n"/>
      <c r="AD88" s="96" t="n"/>
      <c r="AE88" s="96" t="n"/>
      <c r="AF88" s="96" t="n"/>
      <c r="AG88" s="96" t="n"/>
      <c r="AH88" s="96" t="n"/>
      <c r="AI88" s="96" t="n"/>
      <c r="AJ88" s="96" t="n"/>
      <c r="AK88" s="96" t="n"/>
      <c r="AL88" s="96" t="n"/>
      <c r="AM88" s="96" t="n"/>
      <c r="AN88" s="96" t="n"/>
      <c r="AO88" s="96" t="n"/>
      <c r="AP88" s="96" t="n"/>
      <c r="AQ88" s="96" t="n"/>
      <c r="AR88" s="96" t="n"/>
      <c r="AS88" s="96" t="n"/>
      <c r="AT88" s="96" t="n"/>
      <c r="AU88" s="96" t="n"/>
      <c r="AV88" s="96" t="n"/>
      <c r="AW88" s="96" t="n"/>
      <c r="AX88" s="96" t="n"/>
      <c r="AY88" s="96" t="n"/>
      <c r="AZ88" s="96" t="n"/>
      <c r="BA88" s="96" t="n"/>
      <c r="BB88" s="96" t="n"/>
    </row>
    <row r="89" ht="22" customHeight="1" s="110">
      <c r="A89" s="97" t="n"/>
      <c r="B89" s="97" t="n"/>
      <c r="C89" s="97" t="n"/>
      <c r="D89" s="97" t="n"/>
      <c r="E89" s="97" t="n"/>
      <c r="F89" s="97" t="n"/>
      <c r="G89" s="97" t="n"/>
      <c r="H89" s="97" t="n"/>
      <c r="I89" s="97" t="n"/>
      <c r="J89" s="97" t="n"/>
      <c r="L89" s="97" t="n"/>
      <c r="M89" s="97" t="n"/>
      <c r="N89" s="97" t="n"/>
      <c r="O89" s="97" t="n"/>
      <c r="Q89" s="97" t="n"/>
      <c r="R89" s="97" t="n"/>
      <c r="S89" s="97" t="n"/>
      <c r="T89" s="97" t="n"/>
      <c r="U89" s="97" t="n"/>
      <c r="V89" s="97" t="n"/>
      <c r="W89" s="97" t="n"/>
      <c r="X89" s="97" t="n"/>
      <c r="Y89" s="97" t="n"/>
      <c r="Z89" s="97" t="n"/>
      <c r="AA89" s="97" t="n"/>
      <c r="AB89" s="97" t="n"/>
      <c r="AC89" s="97" t="n"/>
      <c r="AD89" s="97" t="n"/>
      <c r="AE89" s="97" t="n"/>
      <c r="AF89" s="97" t="n"/>
      <c r="AG89" s="97" t="n"/>
      <c r="AH89" s="97" t="n"/>
      <c r="AI89" s="97" t="n"/>
      <c r="AJ89" s="97" t="n"/>
      <c r="AK89" s="97" t="n"/>
      <c r="AL89" s="97" t="n"/>
      <c r="AM89" s="97" t="n"/>
      <c r="AN89" s="97" t="n"/>
      <c r="AO89" s="97" t="n"/>
      <c r="AP89" s="97" t="n"/>
      <c r="AQ89" s="97" t="n"/>
      <c r="AR89" s="97" t="n"/>
      <c r="AS89" s="97" t="n"/>
      <c r="AT89" s="97" t="n"/>
      <c r="AU89" s="97" t="n"/>
      <c r="AV89" s="97" t="n"/>
      <c r="AW89" s="97" t="n"/>
      <c r="AX89" s="97" t="n"/>
      <c r="AY89" s="97" t="n"/>
      <c r="AZ89" s="97" t="n"/>
      <c r="BA89" s="97" t="n"/>
      <c r="BB89" s="97" t="n"/>
    </row>
    <row r="90" ht="22" customHeight="1" s="110">
      <c r="A90" s="96" t="n"/>
      <c r="B90" s="96" t="n"/>
      <c r="C90" s="96" t="n"/>
      <c r="D90" s="96" t="n"/>
      <c r="E90" s="96" t="n"/>
      <c r="F90" s="96" t="n"/>
      <c r="G90" s="96" t="n"/>
      <c r="H90" s="96" t="n"/>
      <c r="I90" s="96" t="n"/>
      <c r="J90" s="96" t="n"/>
      <c r="L90" s="96" t="n"/>
      <c r="M90" s="96" t="n"/>
      <c r="N90" s="96" t="n"/>
      <c r="O90" s="96" t="n"/>
      <c r="Q90" s="96" t="n"/>
      <c r="R90" s="96" t="n"/>
      <c r="S90" s="96" t="n"/>
      <c r="T90" s="96" t="n"/>
      <c r="U90" s="96" t="n"/>
      <c r="V90" s="96" t="n"/>
      <c r="W90" s="96" t="n"/>
      <c r="X90" s="96" t="n"/>
      <c r="Y90" s="96" t="n"/>
      <c r="Z90" s="96" t="n"/>
      <c r="AA90" s="96" t="n"/>
      <c r="AB90" s="96" t="n"/>
      <c r="AC90" s="96" t="n"/>
      <c r="AD90" s="96" t="n"/>
      <c r="AE90" s="96" t="n"/>
      <c r="AF90" s="96" t="n"/>
      <c r="AG90" s="96" t="n"/>
      <c r="AH90" s="96" t="n"/>
      <c r="AI90" s="96" t="n"/>
      <c r="AJ90" s="96" t="n"/>
      <c r="AK90" s="96" t="n"/>
      <c r="AL90" s="96" t="n"/>
      <c r="AM90" s="96" t="n"/>
      <c r="AN90" s="96" t="n"/>
      <c r="AO90" s="96" t="n"/>
      <c r="AP90" s="96" t="n"/>
      <c r="AQ90" s="96" t="n"/>
      <c r="AR90" s="96" t="n"/>
      <c r="AS90" s="96" t="n"/>
      <c r="AT90" s="96" t="n"/>
      <c r="AU90" s="96" t="n"/>
      <c r="AV90" s="96" t="n"/>
      <c r="AW90" s="96" t="n"/>
      <c r="AX90" s="96" t="n"/>
      <c r="AY90" s="96" t="n"/>
      <c r="AZ90" s="96" t="n"/>
      <c r="BA90" s="96" t="n"/>
      <c r="BB90" s="96" t="n"/>
    </row>
    <row r="91" ht="22" customHeight="1" s="110">
      <c r="A91" s="97" t="n"/>
      <c r="B91" s="97" t="n"/>
      <c r="C91" s="97" t="n"/>
      <c r="D91" s="97" t="n"/>
      <c r="E91" s="97" t="n"/>
      <c r="F91" s="97" t="n"/>
      <c r="G91" s="97" t="n"/>
      <c r="H91" s="97" t="n"/>
      <c r="I91" s="97" t="n"/>
      <c r="J91" s="97" t="n"/>
      <c r="L91" s="97" t="n"/>
      <c r="M91" s="97" t="n"/>
      <c r="N91" s="97" t="n"/>
      <c r="O91" s="97" t="n"/>
      <c r="Q91" s="97" t="n"/>
      <c r="R91" s="97" t="n"/>
      <c r="S91" s="97" t="n"/>
      <c r="T91" s="97" t="n"/>
      <c r="U91" s="97" t="n"/>
      <c r="V91" s="97" t="n"/>
      <c r="W91" s="97" t="n"/>
      <c r="X91" s="97" t="n"/>
      <c r="Y91" s="97" t="n"/>
      <c r="Z91" s="97" t="n"/>
      <c r="AA91" s="97" t="n"/>
      <c r="AB91" s="97" t="n"/>
      <c r="AC91" s="97" t="n"/>
      <c r="AD91" s="97" t="n"/>
      <c r="AE91" s="97" t="n"/>
      <c r="AF91" s="97" t="n"/>
      <c r="AG91" s="97" t="n"/>
      <c r="AH91" s="97" t="n"/>
      <c r="AI91" s="97" t="n"/>
      <c r="AJ91" s="97" t="n"/>
      <c r="AK91" s="97" t="n"/>
      <c r="AL91" s="97" t="n"/>
      <c r="AM91" s="97" t="n"/>
      <c r="AN91" s="97" t="n"/>
      <c r="AO91" s="97" t="n"/>
      <c r="AP91" s="97" t="n"/>
      <c r="AQ91" s="97" t="n"/>
      <c r="AR91" s="97" t="n"/>
      <c r="AS91" s="97" t="n"/>
      <c r="AT91" s="97" t="n"/>
      <c r="AU91" s="97" t="n"/>
      <c r="AV91" s="97" t="n"/>
      <c r="AW91" s="97" t="n"/>
      <c r="AX91" s="97" t="n"/>
      <c r="AY91" s="97" t="n"/>
      <c r="AZ91" s="97" t="n"/>
      <c r="BA91" s="97" t="n"/>
      <c r="BB91" s="97" t="n"/>
    </row>
    <row r="92" ht="22" customHeight="1" s="110">
      <c r="A92" s="96" t="n"/>
      <c r="B92" s="96" t="n"/>
      <c r="C92" s="96" t="n"/>
      <c r="D92" s="96" t="n"/>
      <c r="E92" s="96" t="n"/>
      <c r="F92" s="96" t="n"/>
      <c r="G92" s="96" t="n"/>
      <c r="H92" s="96" t="n"/>
      <c r="I92" s="96" t="n"/>
      <c r="J92" s="96" t="n"/>
      <c r="L92" s="96" t="n"/>
      <c r="M92" s="96" t="n"/>
      <c r="N92" s="96" t="n"/>
      <c r="O92" s="96" t="n"/>
      <c r="Q92" s="96" t="n"/>
      <c r="R92" s="96" t="n"/>
      <c r="S92" s="96" t="n"/>
      <c r="T92" s="96" t="n"/>
      <c r="U92" s="96" t="n"/>
      <c r="V92" s="96" t="n"/>
      <c r="W92" s="96" t="n"/>
      <c r="X92" s="96" t="n"/>
      <c r="Y92" s="96" t="n"/>
      <c r="Z92" s="96" t="n"/>
      <c r="AA92" s="96" t="n"/>
      <c r="AB92" s="96" t="n"/>
      <c r="AC92" s="96" t="n"/>
      <c r="AD92" s="96" t="n"/>
      <c r="AE92" s="96" t="n"/>
      <c r="AF92" s="96" t="n"/>
      <c r="AG92" s="96" t="n"/>
      <c r="AH92" s="96" t="n"/>
      <c r="AI92" s="96" t="n"/>
      <c r="AJ92" s="96" t="n"/>
      <c r="AK92" s="96" t="n"/>
      <c r="AL92" s="96" t="n"/>
      <c r="AM92" s="96" t="n"/>
      <c r="AN92" s="96" t="n"/>
      <c r="AO92" s="96" t="n"/>
      <c r="AP92" s="96" t="n"/>
      <c r="AQ92" s="96" t="n"/>
      <c r="AR92" s="96" t="n"/>
      <c r="AS92" s="96" t="n"/>
      <c r="AT92" s="96" t="n"/>
      <c r="AU92" s="96" t="n"/>
      <c r="AV92" s="96" t="n"/>
      <c r="AW92" s="96" t="n"/>
      <c r="AX92" s="96" t="n"/>
      <c r="AY92" s="96" t="n"/>
      <c r="AZ92" s="96" t="n"/>
      <c r="BA92" s="96" t="n"/>
      <c r="BB92" s="96" t="n"/>
    </row>
    <row r="93" ht="22" customHeight="1" s="110">
      <c r="A93" s="97" t="n"/>
      <c r="B93" s="97" t="n"/>
      <c r="C93" s="97" t="n"/>
      <c r="D93" s="97" t="n"/>
      <c r="E93" s="97" t="n"/>
      <c r="F93" s="97" t="n"/>
      <c r="G93" s="97" t="n"/>
      <c r="H93" s="97" t="n"/>
      <c r="I93" s="97" t="n"/>
      <c r="J93" s="97" t="n"/>
      <c r="L93" s="97" t="n"/>
      <c r="M93" s="97" t="n"/>
      <c r="N93" s="97" t="n"/>
      <c r="O93" s="97" t="n"/>
      <c r="Q93" s="97" t="n"/>
      <c r="R93" s="97" t="n"/>
      <c r="S93" s="97" t="n"/>
      <c r="T93" s="97" t="n"/>
      <c r="U93" s="97" t="n"/>
      <c r="V93" s="97" t="n"/>
      <c r="W93" s="97" t="n"/>
      <c r="X93" s="97" t="n"/>
      <c r="Y93" s="97" t="n"/>
      <c r="Z93" s="97" t="n"/>
      <c r="AA93" s="97" t="n"/>
      <c r="AB93" s="97" t="n"/>
      <c r="AC93" s="97" t="n"/>
      <c r="AD93" s="97" t="n"/>
      <c r="AE93" s="97" t="n"/>
      <c r="AF93" s="97" t="n"/>
      <c r="AG93" s="97" t="n"/>
      <c r="AH93" s="97" t="n"/>
      <c r="AI93" s="97" t="n"/>
      <c r="AJ93" s="97" t="n"/>
      <c r="AK93" s="97" t="n"/>
      <c r="AL93" s="97" t="n"/>
      <c r="AM93" s="97" t="n"/>
      <c r="AN93" s="97" t="n"/>
      <c r="AO93" s="97" t="n"/>
      <c r="AP93" s="97" t="n"/>
      <c r="AQ93" s="97" t="n"/>
      <c r="AR93" s="97" t="n"/>
      <c r="AS93" s="97" t="n"/>
      <c r="AT93" s="97" t="n"/>
      <c r="AU93" s="97" t="n"/>
      <c r="AV93" s="97" t="n"/>
      <c r="AW93" s="97" t="n"/>
      <c r="AX93" s="97" t="n"/>
      <c r="AY93" s="97" t="n"/>
      <c r="AZ93" s="97" t="n"/>
      <c r="BA93" s="97" t="n"/>
      <c r="BB93" s="97" t="n"/>
    </row>
    <row r="94" ht="22" customHeight="1" s="110">
      <c r="A94" s="96" t="n"/>
      <c r="B94" s="96" t="n"/>
      <c r="C94" s="96" t="n"/>
      <c r="D94" s="96" t="n"/>
      <c r="E94" s="96" t="n"/>
      <c r="F94" s="96" t="n"/>
      <c r="G94" s="96" t="n"/>
      <c r="H94" s="96" t="n"/>
      <c r="I94" s="96" t="n"/>
      <c r="J94" s="96" t="n"/>
      <c r="L94" s="96" t="n"/>
      <c r="M94" s="96" t="n"/>
      <c r="N94" s="96" t="n"/>
      <c r="O94" s="96" t="n"/>
      <c r="Q94" s="96" t="n"/>
      <c r="R94" s="96" t="n"/>
      <c r="S94" s="96" t="n"/>
      <c r="T94" s="96" t="n"/>
      <c r="U94" s="96" t="n"/>
      <c r="V94" s="96" t="n"/>
      <c r="W94" s="96" t="n"/>
      <c r="X94" s="96" t="n"/>
      <c r="Y94" s="96" t="n"/>
      <c r="Z94" s="96" t="n"/>
      <c r="AA94" s="96" t="n"/>
      <c r="AB94" s="96" t="n"/>
      <c r="AC94" s="96" t="n"/>
      <c r="AD94" s="96" t="n"/>
      <c r="AE94" s="96" t="n"/>
      <c r="AF94" s="96" t="n"/>
      <c r="AG94" s="96" t="n"/>
      <c r="AH94" s="96" t="n"/>
      <c r="AI94" s="96" t="n"/>
      <c r="AJ94" s="96" t="n"/>
      <c r="AK94" s="96" t="n"/>
      <c r="AL94" s="96" t="n"/>
      <c r="AM94" s="96" t="n"/>
      <c r="AN94" s="96" t="n"/>
      <c r="AO94" s="96" t="n"/>
      <c r="AP94" s="96" t="n"/>
      <c r="AQ94" s="96" t="n"/>
      <c r="AR94" s="96" t="n"/>
      <c r="AS94" s="96" t="n"/>
      <c r="AT94" s="96" t="n"/>
      <c r="AU94" s="96" t="n"/>
      <c r="AV94" s="96" t="n"/>
      <c r="AW94" s="96" t="n"/>
      <c r="AX94" s="96" t="n"/>
      <c r="AY94" s="96" t="n"/>
      <c r="AZ94" s="96" t="n"/>
      <c r="BA94" s="96" t="n"/>
      <c r="BB94" s="96" t="n"/>
    </row>
    <row r="95" ht="22" customHeight="1" s="110">
      <c r="A95" s="97" t="n"/>
      <c r="B95" s="97" t="n"/>
      <c r="C95" s="97" t="n"/>
      <c r="D95" s="97" t="n"/>
      <c r="E95" s="97" t="n"/>
      <c r="F95" s="97" t="n"/>
      <c r="G95" s="97" t="n"/>
      <c r="H95" s="97" t="n"/>
      <c r="I95" s="97" t="n"/>
      <c r="J95" s="97" t="n"/>
      <c r="L95" s="97" t="n"/>
      <c r="M95" s="97" t="n"/>
      <c r="N95" s="97" t="n"/>
      <c r="O95" s="97" t="n"/>
      <c r="Q95" s="97" t="n"/>
      <c r="R95" s="97" t="n"/>
      <c r="S95" s="97" t="n"/>
      <c r="T95" s="97" t="n"/>
      <c r="U95" s="97" t="n"/>
      <c r="V95" s="97" t="n"/>
      <c r="W95" s="97" t="n"/>
      <c r="X95" s="97" t="n"/>
      <c r="Y95" s="97" t="n"/>
      <c r="Z95" s="97" t="n"/>
      <c r="AA95" s="97" t="n"/>
      <c r="AB95" s="97" t="n"/>
      <c r="AC95" s="97" t="n"/>
      <c r="AD95" s="97" t="n"/>
      <c r="AE95" s="97" t="n"/>
      <c r="AF95" s="97" t="n"/>
      <c r="AG95" s="97" t="n"/>
      <c r="AH95" s="97" t="n"/>
      <c r="AI95" s="97" t="n"/>
      <c r="AJ95" s="97" t="n"/>
      <c r="AK95" s="97" t="n"/>
      <c r="AL95" s="97" t="n"/>
      <c r="AM95" s="97" t="n"/>
      <c r="AN95" s="97" t="n"/>
      <c r="AO95" s="97" t="n"/>
      <c r="AP95" s="97" t="n"/>
      <c r="AQ95" s="97" t="n"/>
      <c r="AR95" s="97" t="n"/>
      <c r="AS95" s="97" t="n"/>
      <c r="AT95" s="97" t="n"/>
      <c r="AU95" s="97" t="n"/>
      <c r="AV95" s="97" t="n"/>
      <c r="AW95" s="97" t="n"/>
      <c r="AX95" s="97" t="n"/>
      <c r="AY95" s="97" t="n"/>
      <c r="AZ95" s="97" t="n"/>
      <c r="BA95" s="97" t="n"/>
      <c r="BB95" s="97" t="n"/>
    </row>
    <row r="96" ht="22" customHeight="1" s="110">
      <c r="A96" s="96" t="n"/>
      <c r="B96" s="96" t="n"/>
      <c r="C96" s="96" t="n"/>
      <c r="D96" s="96" t="n"/>
      <c r="E96" s="96" t="n"/>
      <c r="F96" s="96" t="n"/>
      <c r="G96" s="96" t="n"/>
      <c r="H96" s="96" t="n"/>
      <c r="I96" s="96" t="n"/>
      <c r="J96" s="96" t="n"/>
      <c r="L96" s="96" t="n"/>
      <c r="M96" s="96" t="n"/>
      <c r="N96" s="96" t="n"/>
      <c r="O96" s="96" t="n"/>
      <c r="Q96" s="96" t="n"/>
      <c r="R96" s="96" t="n"/>
      <c r="S96" s="96" t="n"/>
      <c r="T96" s="96" t="n"/>
      <c r="U96" s="96" t="n"/>
      <c r="V96" s="96" t="n"/>
      <c r="W96" s="96" t="n"/>
      <c r="X96" s="96" t="n"/>
      <c r="Y96" s="96" t="n"/>
      <c r="Z96" s="96" t="n"/>
      <c r="AA96" s="96" t="n"/>
      <c r="AB96" s="96" t="n"/>
      <c r="AC96" s="96" t="n"/>
      <c r="AD96" s="96" t="n"/>
      <c r="AE96" s="96" t="n"/>
      <c r="AF96" s="96" t="n"/>
      <c r="AG96" s="96" t="n"/>
      <c r="AH96" s="96" t="n"/>
      <c r="AI96" s="96" t="n"/>
      <c r="AJ96" s="96" t="n"/>
      <c r="AK96" s="96" t="n"/>
      <c r="AL96" s="96" t="n"/>
      <c r="AM96" s="96" t="n"/>
      <c r="AN96" s="96" t="n"/>
      <c r="AO96" s="96" t="n"/>
      <c r="AP96" s="96" t="n"/>
      <c r="AQ96" s="96" t="n"/>
      <c r="AR96" s="96" t="n"/>
      <c r="AS96" s="96" t="n"/>
      <c r="AT96" s="96" t="n"/>
      <c r="AU96" s="96" t="n"/>
      <c r="AV96" s="96" t="n"/>
      <c r="AW96" s="96" t="n"/>
      <c r="AX96" s="96" t="n"/>
      <c r="AY96" s="96" t="n"/>
      <c r="AZ96" s="96" t="n"/>
      <c r="BA96" s="96" t="n"/>
      <c r="BB96" s="96" t="n"/>
    </row>
    <row r="97" ht="22" customHeight="1" s="110">
      <c r="A97" s="97" t="n"/>
      <c r="B97" s="97" t="n"/>
      <c r="C97" s="97" t="n"/>
      <c r="D97" s="97" t="n"/>
      <c r="E97" s="97" t="n"/>
      <c r="F97" s="97" t="n"/>
      <c r="G97" s="97" t="n"/>
      <c r="H97" s="97" t="n"/>
      <c r="I97" s="97" t="n"/>
      <c r="J97" s="97" t="n"/>
      <c r="L97" s="97" t="n"/>
      <c r="M97" s="97" t="n"/>
      <c r="N97" s="97" t="n"/>
      <c r="O97" s="97" t="n"/>
      <c r="Q97" s="97" t="n"/>
      <c r="R97" s="97" t="n"/>
      <c r="S97" s="97" t="n"/>
      <c r="T97" s="97" t="n"/>
      <c r="U97" s="97" t="n"/>
      <c r="V97" s="97" t="n"/>
      <c r="W97" s="97" t="n"/>
      <c r="X97" s="97" t="n"/>
      <c r="Y97" s="97" t="n"/>
      <c r="Z97" s="97" t="n"/>
      <c r="AA97" s="97" t="n"/>
      <c r="AB97" s="97" t="n"/>
      <c r="AC97" s="97" t="n"/>
      <c r="AD97" s="97" t="n"/>
      <c r="AE97" s="97" t="n"/>
      <c r="AF97" s="97" t="n"/>
      <c r="AG97" s="97" t="n"/>
      <c r="AH97" s="97" t="n"/>
      <c r="AI97" s="97" t="n"/>
      <c r="AJ97" s="97" t="n"/>
      <c r="AK97" s="97" t="n"/>
      <c r="AL97" s="97" t="n"/>
      <c r="AM97" s="97" t="n"/>
      <c r="AN97" s="97" t="n"/>
      <c r="AO97" s="97" t="n"/>
      <c r="AP97" s="97" t="n"/>
      <c r="AQ97" s="97" t="n"/>
      <c r="AR97" s="97" t="n"/>
      <c r="AS97" s="97" t="n"/>
      <c r="AT97" s="97" t="n"/>
      <c r="AU97" s="97" t="n"/>
      <c r="AV97" s="97" t="n"/>
      <c r="AW97" s="97" t="n"/>
      <c r="AX97" s="97" t="n"/>
      <c r="AY97" s="97" t="n"/>
      <c r="AZ97" s="97" t="n"/>
      <c r="BA97" s="97" t="n"/>
      <c r="BB97" s="97" t="n"/>
    </row>
    <row r="98" ht="22" customHeight="1" s="110">
      <c r="A98" s="96" t="n"/>
      <c r="B98" s="96" t="n"/>
      <c r="C98" s="96" t="n"/>
      <c r="D98" s="96" t="n"/>
      <c r="E98" s="96" t="n"/>
      <c r="F98" s="96" t="n"/>
      <c r="G98" s="96" t="n"/>
      <c r="H98" s="96" t="n"/>
      <c r="I98" s="96" t="n"/>
      <c r="J98" s="96" t="n"/>
      <c r="L98" s="96" t="n"/>
      <c r="M98" s="96" t="n"/>
      <c r="N98" s="96" t="n"/>
      <c r="O98" s="96" t="n"/>
      <c r="Q98" s="96" t="n"/>
      <c r="R98" s="96" t="n"/>
      <c r="S98" s="96" t="n"/>
      <c r="T98" s="96" t="n"/>
      <c r="U98" s="96" t="n"/>
      <c r="V98" s="96" t="n"/>
      <c r="W98" s="96" t="n"/>
      <c r="X98" s="96" t="n"/>
      <c r="Y98" s="96" t="n"/>
      <c r="Z98" s="96" t="n"/>
      <c r="AA98" s="96" t="n"/>
      <c r="AB98" s="96" t="n"/>
      <c r="AC98" s="96" t="n"/>
      <c r="AD98" s="96" t="n"/>
      <c r="AE98" s="96" t="n"/>
      <c r="AF98" s="96" t="n"/>
      <c r="AG98" s="96" t="n"/>
      <c r="AH98" s="96" t="n"/>
      <c r="AI98" s="96" t="n"/>
      <c r="AJ98" s="96" t="n"/>
      <c r="AK98" s="96" t="n"/>
      <c r="AL98" s="96" t="n"/>
      <c r="AM98" s="96" t="n"/>
      <c r="AN98" s="96" t="n"/>
      <c r="AO98" s="96" t="n"/>
      <c r="AP98" s="96" t="n"/>
      <c r="AQ98" s="96" t="n"/>
      <c r="AR98" s="96" t="n"/>
      <c r="AS98" s="96" t="n"/>
      <c r="AT98" s="96" t="n"/>
      <c r="AU98" s="96" t="n"/>
      <c r="AV98" s="96" t="n"/>
      <c r="AW98" s="96" t="n"/>
      <c r="AX98" s="96" t="n"/>
      <c r="AY98" s="96" t="n"/>
      <c r="AZ98" s="96" t="n"/>
      <c r="BA98" s="96" t="n"/>
      <c r="BB98" s="96" t="n"/>
    </row>
    <row r="99" ht="22" customHeight="1" s="110">
      <c r="A99" s="97" t="n"/>
      <c r="B99" s="97" t="n"/>
      <c r="C99" s="97" t="n"/>
      <c r="D99" s="97" t="n"/>
      <c r="E99" s="97" t="n"/>
      <c r="F99" s="97" t="n"/>
      <c r="G99" s="97" t="n"/>
      <c r="H99" s="97" t="n"/>
      <c r="I99" s="97" t="n"/>
      <c r="J99" s="97" t="n"/>
      <c r="L99" s="97" t="n"/>
      <c r="M99" s="97" t="n"/>
      <c r="N99" s="97" t="n"/>
      <c r="O99" s="97" t="n"/>
      <c r="Q99" s="97" t="n"/>
      <c r="R99" s="97" t="n"/>
      <c r="S99" s="97" t="n"/>
      <c r="T99" s="97" t="n"/>
      <c r="U99" s="97" t="n"/>
      <c r="V99" s="97" t="n"/>
      <c r="W99" s="97" t="n"/>
      <c r="X99" s="97" t="n"/>
      <c r="Y99" s="97" t="n"/>
      <c r="Z99" s="97" t="n"/>
      <c r="AA99" s="97" t="n"/>
      <c r="AB99" s="97" t="n"/>
      <c r="AC99" s="97" t="n"/>
      <c r="AD99" s="97" t="n"/>
      <c r="AE99" s="97" t="n"/>
      <c r="AF99" s="97" t="n"/>
      <c r="AG99" s="97" t="n"/>
      <c r="AH99" s="97" t="n"/>
      <c r="AI99" s="97" t="n"/>
      <c r="AJ99" s="97" t="n"/>
      <c r="AK99" s="97" t="n"/>
      <c r="AL99" s="97" t="n"/>
      <c r="AM99" s="97" t="n"/>
      <c r="AN99" s="97" t="n"/>
      <c r="AO99" s="97" t="n"/>
      <c r="AP99" s="97" t="n"/>
      <c r="AQ99" s="97" t="n"/>
      <c r="AR99" s="97" t="n"/>
      <c r="AS99" s="97" t="n"/>
      <c r="AT99" s="97" t="n"/>
      <c r="AU99" s="97" t="n"/>
      <c r="AV99" s="97" t="n"/>
      <c r="AW99" s="97" t="n"/>
      <c r="AX99" s="97" t="n"/>
      <c r="AY99" s="97" t="n"/>
      <c r="AZ99" s="97" t="n"/>
      <c r="BA99" s="97" t="n"/>
      <c r="BB99" s="97" t="n"/>
    </row>
    <row r="100" ht="22" customHeight="1" s="110">
      <c r="A100" s="96" t="n"/>
      <c r="B100" s="96" t="n"/>
      <c r="C100" s="96" t="n"/>
      <c r="D100" s="96" t="n"/>
      <c r="E100" s="96" t="n"/>
      <c r="F100" s="96" t="n"/>
      <c r="G100" s="96" t="n"/>
      <c r="H100" s="96" t="n"/>
      <c r="I100" s="96" t="n"/>
      <c r="J100" s="96" t="n"/>
      <c r="L100" s="96" t="n"/>
      <c r="M100" s="96" t="n"/>
      <c r="N100" s="96" t="n"/>
      <c r="O100" s="96" t="n"/>
      <c r="Q100" s="96" t="n"/>
      <c r="R100" s="96" t="n"/>
      <c r="S100" s="96" t="n"/>
      <c r="T100" s="96" t="n"/>
      <c r="U100" s="96" t="n"/>
      <c r="V100" s="96" t="n"/>
      <c r="W100" s="96" t="n"/>
      <c r="X100" s="96" t="n"/>
      <c r="Y100" s="96" t="n"/>
      <c r="Z100" s="96" t="n"/>
      <c r="AA100" s="96" t="n"/>
      <c r="AB100" s="96" t="n"/>
      <c r="AC100" s="96" t="n"/>
      <c r="AD100" s="96" t="n"/>
      <c r="AE100" s="96" t="n"/>
      <c r="AF100" s="96" t="n"/>
      <c r="AG100" s="96" t="n"/>
      <c r="AH100" s="96" t="n"/>
      <c r="AI100" s="96" t="n"/>
      <c r="AJ100" s="96" t="n"/>
      <c r="AK100" s="96" t="n"/>
      <c r="AL100" s="96" t="n"/>
      <c r="AM100" s="96" t="n"/>
      <c r="AN100" s="96" t="n"/>
      <c r="AO100" s="96" t="n"/>
      <c r="AP100" s="96" t="n"/>
      <c r="AQ100" s="96" t="n"/>
      <c r="AR100" s="96" t="n"/>
      <c r="AS100" s="96" t="n"/>
      <c r="AT100" s="96" t="n"/>
      <c r="AU100" s="96" t="n"/>
      <c r="AV100" s="96" t="n"/>
      <c r="AW100" s="96" t="n"/>
      <c r="AX100" s="96" t="n"/>
      <c r="AY100" s="96" t="n"/>
      <c r="AZ100" s="96" t="n"/>
      <c r="BA100" s="96" t="n"/>
      <c r="BB100" s="96" t="n"/>
    </row>
    <row r="101" ht="22" customHeight="1" s="110">
      <c r="A101" s="97" t="n"/>
      <c r="B101" s="97" t="n"/>
      <c r="C101" s="97" t="n"/>
      <c r="D101" s="97" t="n"/>
      <c r="E101" s="97" t="n"/>
      <c r="F101" s="97" t="n"/>
      <c r="G101" s="97" t="n"/>
      <c r="H101" s="97" t="n"/>
      <c r="I101" s="97" t="n"/>
      <c r="J101" s="97" t="n"/>
      <c r="L101" s="97" t="n"/>
      <c r="M101" s="97" t="n"/>
      <c r="N101" s="97" t="n"/>
      <c r="O101" s="97" t="n"/>
      <c r="Q101" s="97" t="n"/>
      <c r="R101" s="97" t="n"/>
      <c r="S101" s="97" t="n"/>
      <c r="T101" s="97" t="n"/>
      <c r="U101" s="97" t="n"/>
      <c r="V101" s="97" t="n"/>
      <c r="W101" s="97" t="n"/>
      <c r="X101" s="97" t="n"/>
      <c r="Y101" s="97" t="n"/>
      <c r="Z101" s="97" t="n"/>
      <c r="AA101" s="97" t="n"/>
      <c r="AB101" s="97" t="n"/>
      <c r="AC101" s="97" t="n"/>
      <c r="AD101" s="97" t="n"/>
      <c r="AE101" s="97" t="n"/>
      <c r="AF101" s="97" t="n"/>
      <c r="AG101" s="97" t="n"/>
      <c r="AH101" s="97" t="n"/>
      <c r="AI101" s="97" t="n"/>
      <c r="AJ101" s="97" t="n"/>
      <c r="AK101" s="97" t="n"/>
      <c r="AL101" s="97" t="n"/>
      <c r="AM101" s="97" t="n"/>
      <c r="AN101" s="97" t="n"/>
      <c r="AO101" s="97" t="n"/>
      <c r="AP101" s="97" t="n"/>
      <c r="AQ101" s="97" t="n"/>
      <c r="AR101" s="97" t="n"/>
      <c r="AS101" s="97" t="n"/>
      <c r="AT101" s="97" t="n"/>
      <c r="AU101" s="97" t="n"/>
      <c r="AV101" s="97" t="n"/>
      <c r="AW101" s="97" t="n"/>
      <c r="AX101" s="97" t="n"/>
      <c r="AY101" s="97" t="n"/>
      <c r="AZ101" s="97" t="n"/>
      <c r="BA101" s="97" t="n"/>
      <c r="BB101" s="97" t="n"/>
    </row>
    <row r="102" ht="22" customHeight="1" s="110">
      <c r="A102" s="96" t="n"/>
      <c r="B102" s="96" t="n"/>
      <c r="C102" s="96" t="n"/>
      <c r="D102" s="96" t="n"/>
      <c r="E102" s="96" t="n"/>
      <c r="F102" s="96" t="n"/>
      <c r="G102" s="96" t="n"/>
      <c r="H102" s="96" t="n"/>
      <c r="I102" s="96" t="n"/>
      <c r="J102" s="96" t="n"/>
      <c r="L102" s="96" t="n"/>
      <c r="M102" s="96" t="n"/>
      <c r="N102" s="96" t="n"/>
      <c r="O102" s="96" t="n"/>
      <c r="Q102" s="96" t="n"/>
      <c r="R102" s="96" t="n"/>
      <c r="S102" s="96" t="n"/>
      <c r="T102" s="96" t="n"/>
      <c r="U102" s="96" t="n"/>
      <c r="V102" s="96" t="n"/>
      <c r="W102" s="96" t="n"/>
      <c r="X102" s="96" t="n"/>
      <c r="Y102" s="96" t="n"/>
      <c r="Z102" s="96" t="n"/>
      <c r="AA102" s="96" t="n"/>
      <c r="AB102" s="96" t="n"/>
      <c r="AC102" s="96" t="n"/>
      <c r="AD102" s="96" t="n"/>
      <c r="AE102" s="96" t="n"/>
      <c r="AF102" s="96" t="n"/>
      <c r="AG102" s="96" t="n"/>
      <c r="AH102" s="96" t="n"/>
      <c r="AI102" s="96" t="n"/>
      <c r="AJ102" s="96" t="n"/>
      <c r="AK102" s="96" t="n"/>
      <c r="AL102" s="96" t="n"/>
      <c r="AM102" s="96" t="n"/>
      <c r="AN102" s="96" t="n"/>
      <c r="AO102" s="96" t="n"/>
      <c r="AP102" s="96" t="n"/>
      <c r="AQ102" s="96" t="n"/>
      <c r="AR102" s="96" t="n"/>
      <c r="AS102" s="96" t="n"/>
      <c r="AT102" s="96" t="n"/>
      <c r="AU102" s="96" t="n"/>
      <c r="AV102" s="96" t="n"/>
      <c r="AW102" s="96" t="n"/>
      <c r="AX102" s="96" t="n"/>
      <c r="AY102" s="96" t="n"/>
      <c r="AZ102" s="96" t="n"/>
      <c r="BA102" s="96" t="n"/>
      <c r="BB102" s="96" t="n"/>
    </row>
    <row r="103" ht="22" customHeight="1" s="110">
      <c r="A103" s="97" t="n"/>
      <c r="B103" s="97" t="n"/>
      <c r="C103" s="97" t="n"/>
      <c r="D103" s="97" t="n"/>
      <c r="E103" s="97" t="n"/>
      <c r="F103" s="97" t="n"/>
      <c r="G103" s="97" t="n"/>
      <c r="H103" s="97" t="n"/>
      <c r="I103" s="97" t="n"/>
      <c r="J103" s="97" t="n"/>
      <c r="L103" s="97" t="n"/>
      <c r="M103" s="97" t="n"/>
      <c r="N103" s="97" t="n"/>
      <c r="O103" s="97" t="n"/>
      <c r="Q103" s="97" t="n"/>
      <c r="R103" s="97" t="n"/>
      <c r="S103" s="97" t="n"/>
      <c r="T103" s="97" t="n"/>
      <c r="U103" s="97" t="n"/>
      <c r="V103" s="97" t="n"/>
      <c r="W103" s="97" t="n"/>
      <c r="X103" s="97" t="n"/>
      <c r="Y103" s="97" t="n"/>
      <c r="Z103" s="97" t="n"/>
      <c r="AA103" s="97" t="n"/>
      <c r="AB103" s="97" t="n"/>
      <c r="AC103" s="97" t="n"/>
      <c r="AD103" s="97" t="n"/>
      <c r="AE103" s="97" t="n"/>
      <c r="AF103" s="97" t="n"/>
      <c r="AG103" s="97" t="n"/>
      <c r="AH103" s="97" t="n"/>
      <c r="AI103" s="97" t="n"/>
      <c r="AJ103" s="97" t="n"/>
      <c r="AK103" s="97" t="n"/>
      <c r="AL103" s="97" t="n"/>
      <c r="AM103" s="97" t="n"/>
      <c r="AN103" s="97" t="n"/>
      <c r="AO103" s="97" t="n"/>
      <c r="AP103" s="97" t="n"/>
      <c r="AQ103" s="97" t="n"/>
      <c r="AR103" s="97" t="n"/>
      <c r="AS103" s="97" t="n"/>
      <c r="AT103" s="97" t="n"/>
      <c r="AU103" s="97" t="n"/>
      <c r="AV103" s="97" t="n"/>
      <c r="AW103" s="97" t="n"/>
      <c r="AX103" s="97" t="n"/>
      <c r="AY103" s="97" t="n"/>
      <c r="AZ103" s="97" t="n"/>
      <c r="BA103" s="97" t="n"/>
      <c r="BB103" s="97" t="n"/>
    </row>
    <row r="104" ht="22" customHeight="1" s="110">
      <c r="A104" s="96" t="n"/>
      <c r="B104" s="96" t="n"/>
      <c r="C104" s="96" t="n"/>
      <c r="D104" s="96" t="n"/>
      <c r="E104" s="96" t="n"/>
      <c r="F104" s="96" t="n"/>
      <c r="G104" s="96" t="n"/>
      <c r="H104" s="96" t="n"/>
      <c r="I104" s="96" t="n"/>
      <c r="J104" s="96" t="n"/>
      <c r="L104" s="96" t="n"/>
      <c r="M104" s="96" t="n"/>
      <c r="N104" s="96" t="n"/>
      <c r="O104" s="96" t="n"/>
      <c r="Q104" s="96" t="n"/>
      <c r="R104" s="96" t="n"/>
      <c r="S104" s="96" t="n"/>
      <c r="T104" s="96" t="n"/>
      <c r="U104" s="96" t="n"/>
      <c r="V104" s="96" t="n"/>
      <c r="W104" s="96" t="n"/>
      <c r="X104" s="96" t="n"/>
      <c r="Y104" s="96" t="n"/>
      <c r="Z104" s="96" t="n"/>
      <c r="AA104" s="96" t="n"/>
      <c r="AB104" s="96" t="n"/>
      <c r="AC104" s="96" t="n"/>
      <c r="AD104" s="96" t="n"/>
      <c r="AE104" s="96" t="n"/>
      <c r="AF104" s="96" t="n"/>
      <c r="AG104" s="96" t="n"/>
      <c r="AH104" s="96" t="n"/>
      <c r="AI104" s="96" t="n"/>
      <c r="AJ104" s="96" t="n"/>
      <c r="AK104" s="96" t="n"/>
      <c r="AL104" s="96" t="n"/>
      <c r="AM104" s="96" t="n"/>
      <c r="AN104" s="96" t="n"/>
      <c r="AO104" s="96" t="n"/>
      <c r="AP104" s="96" t="n"/>
      <c r="AQ104" s="96" t="n"/>
      <c r="AR104" s="96" t="n"/>
      <c r="AS104" s="96" t="n"/>
      <c r="AT104" s="96" t="n"/>
      <c r="AU104" s="96" t="n"/>
      <c r="AV104" s="96" t="n"/>
      <c r="AW104" s="96" t="n"/>
      <c r="AX104" s="96" t="n"/>
      <c r="AY104" s="96" t="n"/>
      <c r="AZ104" s="96" t="n"/>
      <c r="BA104" s="96" t="n"/>
      <c r="BB104" s="96" t="n"/>
    </row>
    <row r="105" ht="22" customHeight="1" s="110">
      <c r="A105" s="97" t="n"/>
      <c r="B105" s="97" t="n"/>
      <c r="C105" s="97" t="n"/>
      <c r="D105" s="97" t="n"/>
      <c r="E105" s="97" t="n"/>
      <c r="F105" s="97" t="n"/>
      <c r="G105" s="97" t="n"/>
      <c r="H105" s="97" t="n"/>
      <c r="I105" s="97" t="n"/>
      <c r="J105" s="97" t="n"/>
      <c r="L105" s="97" t="n"/>
      <c r="M105" s="97" t="n"/>
      <c r="N105" s="97" t="n"/>
      <c r="O105" s="97" t="n"/>
      <c r="Q105" s="97" t="n"/>
      <c r="R105" s="97" t="n"/>
      <c r="S105" s="97" t="n"/>
      <c r="T105" s="97" t="n"/>
      <c r="U105" s="97" t="n"/>
      <c r="V105" s="97" t="n"/>
      <c r="W105" s="97" t="n"/>
      <c r="X105" s="97" t="n"/>
      <c r="Y105" s="97" t="n"/>
      <c r="Z105" s="97" t="n"/>
      <c r="AA105" s="97" t="n"/>
      <c r="AB105" s="97" t="n"/>
      <c r="AC105" s="97" t="n"/>
      <c r="AD105" s="97" t="n"/>
      <c r="AE105" s="97" t="n"/>
      <c r="AF105" s="97" t="n"/>
      <c r="AG105" s="97" t="n"/>
      <c r="AH105" s="97" t="n"/>
      <c r="AI105" s="97" t="n"/>
      <c r="AJ105" s="97" t="n"/>
      <c r="AK105" s="97" t="n"/>
      <c r="AL105" s="97" t="n"/>
      <c r="AM105" s="97" t="n"/>
      <c r="AN105" s="97" t="n"/>
      <c r="AO105" s="97" t="n"/>
      <c r="AP105" s="97" t="n"/>
      <c r="AQ105" s="97" t="n"/>
      <c r="AR105" s="97" t="n"/>
      <c r="AS105" s="97" t="n"/>
      <c r="AT105" s="97" t="n"/>
      <c r="AU105" s="97" t="n"/>
      <c r="AV105" s="97" t="n"/>
      <c r="AW105" s="97" t="n"/>
      <c r="AX105" s="97" t="n"/>
      <c r="AY105" s="97" t="n"/>
      <c r="AZ105" s="97" t="n"/>
      <c r="BA105" s="97" t="n"/>
      <c r="BB105" s="97" t="n"/>
    </row>
    <row r="106" ht="22" customHeight="1" s="110">
      <c r="A106" s="96" t="n"/>
      <c r="B106" s="96" t="n"/>
      <c r="C106" s="96" t="n"/>
      <c r="D106" s="96" t="n"/>
      <c r="E106" s="96" t="n"/>
      <c r="F106" s="96" t="n"/>
      <c r="G106" s="96" t="n"/>
      <c r="H106" s="96" t="n"/>
      <c r="I106" s="96" t="n"/>
      <c r="J106" s="96" t="n"/>
      <c r="L106" s="96" t="n"/>
      <c r="M106" s="96" t="n"/>
      <c r="N106" s="96" t="n"/>
      <c r="O106" s="96" t="n"/>
      <c r="Q106" s="96" t="n"/>
      <c r="R106" s="96" t="n"/>
      <c r="S106" s="96" t="n"/>
      <c r="T106" s="96" t="n"/>
      <c r="U106" s="96" t="n"/>
      <c r="V106" s="96" t="n"/>
      <c r="W106" s="96" t="n"/>
      <c r="X106" s="96" t="n"/>
      <c r="Y106" s="96" t="n"/>
      <c r="Z106" s="96" t="n"/>
      <c r="AA106" s="96" t="n"/>
      <c r="AB106" s="96" t="n"/>
      <c r="AC106" s="96" t="n"/>
      <c r="AD106" s="96" t="n"/>
      <c r="AE106" s="96" t="n"/>
      <c r="AF106" s="96" t="n"/>
      <c r="AG106" s="96" t="n"/>
      <c r="AH106" s="96" t="n"/>
      <c r="AI106" s="96" t="n"/>
      <c r="AJ106" s="96" t="n"/>
      <c r="AK106" s="96" t="n"/>
      <c r="AL106" s="96" t="n"/>
      <c r="AM106" s="96" t="n"/>
      <c r="AN106" s="96" t="n"/>
      <c r="AO106" s="96" t="n"/>
      <c r="AP106" s="96" t="n"/>
      <c r="AQ106" s="96" t="n"/>
      <c r="AR106" s="96" t="n"/>
      <c r="AS106" s="96" t="n"/>
      <c r="AT106" s="96" t="n"/>
      <c r="AU106" s="96" t="n"/>
      <c r="AV106" s="96" t="n"/>
      <c r="AW106" s="96" t="n"/>
      <c r="AX106" s="96" t="n"/>
      <c r="AY106" s="96" t="n"/>
      <c r="AZ106" s="96" t="n"/>
      <c r="BA106" s="96" t="n"/>
      <c r="BB106" s="96" t="n"/>
    </row>
    <row r="107" ht="22" customHeight="1" s="110">
      <c r="A107" s="97" t="n"/>
      <c r="B107" s="97" t="n"/>
      <c r="C107" s="97" t="n"/>
      <c r="D107" s="97" t="n"/>
      <c r="E107" s="97" t="n"/>
      <c r="F107" s="97" t="n"/>
      <c r="G107" s="97" t="n"/>
      <c r="H107" s="97" t="n"/>
      <c r="I107" s="97" t="n"/>
      <c r="J107" s="97" t="n"/>
      <c r="L107" s="97" t="n"/>
      <c r="M107" s="97" t="n"/>
      <c r="N107" s="97" t="n"/>
      <c r="O107" s="97" t="n"/>
      <c r="Q107" s="97" t="n"/>
      <c r="R107" s="97" t="n"/>
      <c r="S107" s="97" t="n"/>
      <c r="T107" s="97" t="n"/>
      <c r="U107" s="97" t="n"/>
      <c r="V107" s="97" t="n"/>
      <c r="W107" s="97" t="n"/>
      <c r="X107" s="97" t="n"/>
      <c r="Y107" s="97" t="n"/>
      <c r="Z107" s="97" t="n"/>
      <c r="AA107" s="97" t="n"/>
      <c r="AB107" s="97" t="n"/>
      <c r="AC107" s="97" t="n"/>
      <c r="AD107" s="97" t="n"/>
      <c r="AE107" s="97" t="n"/>
      <c r="AF107" s="97" t="n"/>
      <c r="AG107" s="97" t="n"/>
      <c r="AH107" s="97" t="n"/>
      <c r="AI107" s="97" t="n"/>
      <c r="AJ107" s="97" t="n"/>
      <c r="AK107" s="97" t="n"/>
      <c r="AL107" s="97" t="n"/>
      <c r="AM107" s="97" t="n"/>
      <c r="AN107" s="97" t="n"/>
      <c r="AO107" s="97" t="n"/>
      <c r="AP107" s="97" t="n"/>
      <c r="AQ107" s="97" t="n"/>
      <c r="AR107" s="97" t="n"/>
      <c r="AS107" s="97" t="n"/>
      <c r="AT107" s="97" t="n"/>
      <c r="AU107" s="97" t="n"/>
      <c r="AV107" s="97" t="n"/>
      <c r="AW107" s="97" t="n"/>
      <c r="AX107" s="97" t="n"/>
      <c r="AY107" s="97" t="n"/>
      <c r="AZ107" s="97" t="n"/>
      <c r="BA107" s="97" t="n"/>
      <c r="BB107" s="97" t="n"/>
    </row>
    <row r="108" ht="22" customHeight="1" s="110">
      <c r="A108" s="96" t="n"/>
      <c r="B108" s="96" t="n"/>
      <c r="C108" s="96" t="n"/>
      <c r="D108" s="96" t="n"/>
      <c r="E108" s="96" t="n"/>
      <c r="F108" s="96" t="n"/>
      <c r="G108" s="96" t="n"/>
      <c r="H108" s="96" t="n"/>
      <c r="I108" s="96" t="n"/>
      <c r="J108" s="96" t="n"/>
      <c r="L108" s="96" t="n"/>
      <c r="M108" s="96" t="n"/>
      <c r="N108" s="96" t="n"/>
      <c r="O108" s="96" t="n"/>
      <c r="Q108" s="96" t="n"/>
      <c r="R108" s="96" t="n"/>
      <c r="S108" s="96" t="n"/>
      <c r="T108" s="96" t="n"/>
      <c r="U108" s="96" t="n"/>
      <c r="V108" s="96" t="n"/>
      <c r="W108" s="96" t="n"/>
      <c r="X108" s="96" t="n"/>
      <c r="Y108" s="96" t="n"/>
      <c r="Z108" s="96" t="n"/>
      <c r="AA108" s="96" t="n"/>
      <c r="AB108" s="96" t="n"/>
      <c r="AC108" s="96" t="n"/>
      <c r="AD108" s="96" t="n"/>
      <c r="AE108" s="96" t="n"/>
      <c r="AF108" s="96" t="n"/>
      <c r="AG108" s="96" t="n"/>
      <c r="AH108" s="96" t="n"/>
      <c r="AI108" s="96" t="n"/>
      <c r="AJ108" s="96" t="n"/>
      <c r="AK108" s="96" t="n"/>
      <c r="AL108" s="96" t="n"/>
      <c r="AM108" s="96" t="n"/>
      <c r="AN108" s="96" t="n"/>
      <c r="AO108" s="96" t="n"/>
      <c r="AP108" s="96" t="n"/>
      <c r="AQ108" s="96" t="n"/>
      <c r="AR108" s="96" t="n"/>
      <c r="AS108" s="96" t="n"/>
      <c r="AT108" s="96" t="n"/>
      <c r="AU108" s="96" t="n"/>
      <c r="AV108" s="96" t="n"/>
      <c r="AW108" s="96" t="n"/>
      <c r="AX108" s="96" t="n"/>
      <c r="AY108" s="96" t="n"/>
      <c r="AZ108" s="96" t="n"/>
      <c r="BA108" s="96" t="n"/>
      <c r="BB108" s="96" t="n"/>
    </row>
    <row r="109" ht="22" customHeight="1" s="110">
      <c r="A109" s="97" t="n"/>
      <c r="B109" s="97" t="n"/>
      <c r="C109" s="97" t="n"/>
      <c r="D109" s="97" t="n"/>
      <c r="E109" s="97" t="n"/>
      <c r="F109" s="97" t="n"/>
      <c r="G109" s="97" t="n"/>
      <c r="H109" s="97" t="n"/>
      <c r="I109" s="97" t="n"/>
      <c r="J109" s="97" t="n"/>
      <c r="L109" s="97" t="n"/>
      <c r="M109" s="97" t="n"/>
      <c r="N109" s="97" t="n"/>
      <c r="O109" s="97" t="n"/>
      <c r="Q109" s="97" t="n"/>
      <c r="R109" s="97" t="n"/>
      <c r="S109" s="97" t="n"/>
      <c r="T109" s="97" t="n"/>
      <c r="U109" s="97" t="n"/>
      <c r="V109" s="97" t="n"/>
      <c r="W109" s="97" t="n"/>
      <c r="X109" s="97" t="n"/>
      <c r="Y109" s="97" t="n"/>
      <c r="Z109" s="97" t="n"/>
      <c r="AA109" s="97" t="n"/>
      <c r="AB109" s="97" t="n"/>
      <c r="AC109" s="97" t="n"/>
      <c r="AD109" s="97" t="n"/>
      <c r="AE109" s="97" t="n"/>
      <c r="AF109" s="97" t="n"/>
      <c r="AG109" s="97" t="n"/>
      <c r="AH109" s="97" t="n"/>
      <c r="AI109" s="97" t="n"/>
      <c r="AJ109" s="97" t="n"/>
      <c r="AK109" s="97" t="n"/>
      <c r="AL109" s="97" t="n"/>
      <c r="AM109" s="97" t="n"/>
      <c r="AN109" s="97" t="n"/>
      <c r="AO109" s="97" t="n"/>
      <c r="AP109" s="97" t="n"/>
      <c r="AQ109" s="97" t="n"/>
      <c r="AR109" s="97" t="n"/>
      <c r="AS109" s="97" t="n"/>
      <c r="AT109" s="97" t="n"/>
      <c r="AU109" s="97" t="n"/>
      <c r="AV109" s="97" t="n"/>
      <c r="AW109" s="97" t="n"/>
      <c r="AX109" s="97" t="n"/>
      <c r="AY109" s="97" t="n"/>
      <c r="AZ109" s="97" t="n"/>
      <c r="BA109" s="97" t="n"/>
      <c r="BB109" s="97" t="n"/>
    </row>
    <row r="110" ht="22" customHeight="1" s="110">
      <c r="A110" s="96" t="n"/>
      <c r="B110" s="96" t="n"/>
      <c r="C110" s="96" t="n"/>
      <c r="D110" s="96" t="n"/>
      <c r="E110" s="96" t="n"/>
      <c r="F110" s="96" t="n"/>
      <c r="G110" s="96" t="n"/>
      <c r="H110" s="96" t="n"/>
      <c r="I110" s="96" t="n"/>
      <c r="J110" s="96" t="n"/>
      <c r="L110" s="96" t="n"/>
      <c r="M110" s="96" t="n"/>
      <c r="N110" s="96" t="n"/>
      <c r="O110" s="96" t="n"/>
      <c r="Q110" s="96" t="n"/>
      <c r="R110" s="96" t="n"/>
      <c r="S110" s="96" t="n"/>
      <c r="T110" s="96" t="n"/>
      <c r="U110" s="96" t="n"/>
      <c r="V110" s="96" t="n"/>
      <c r="W110" s="96" t="n"/>
      <c r="X110" s="96" t="n"/>
      <c r="Y110" s="96" t="n"/>
      <c r="Z110" s="96" t="n"/>
      <c r="AA110" s="96" t="n"/>
      <c r="AB110" s="96" t="n"/>
      <c r="AC110" s="96" t="n"/>
      <c r="AD110" s="96" t="n"/>
      <c r="AE110" s="96" t="n"/>
      <c r="AF110" s="96" t="n"/>
      <c r="AG110" s="96" t="n"/>
      <c r="AH110" s="96" t="n"/>
      <c r="AI110" s="96" t="n"/>
      <c r="AJ110" s="96" t="n"/>
      <c r="AK110" s="96" t="n"/>
      <c r="AL110" s="96" t="n"/>
      <c r="AM110" s="96" t="n"/>
      <c r="AN110" s="96" t="n"/>
      <c r="AO110" s="96" t="n"/>
      <c r="AP110" s="96" t="n"/>
      <c r="AQ110" s="96" t="n"/>
      <c r="AR110" s="96" t="n"/>
      <c r="AS110" s="96" t="n"/>
      <c r="AT110" s="96" t="n"/>
      <c r="AU110" s="96" t="n"/>
      <c r="AV110" s="96" t="n"/>
      <c r="AW110" s="96" t="n"/>
      <c r="AX110" s="96" t="n"/>
      <c r="AY110" s="96" t="n"/>
      <c r="AZ110" s="96" t="n"/>
      <c r="BA110" s="96" t="n"/>
      <c r="BB110" s="96" t="n"/>
    </row>
    <row r="111" ht="22" customHeight="1" s="110">
      <c r="A111" s="97" t="n"/>
      <c r="B111" s="97" t="n"/>
      <c r="C111" s="97" t="n"/>
      <c r="D111" s="97" t="n"/>
      <c r="E111" s="97" t="n"/>
      <c r="F111" s="97" t="n"/>
      <c r="G111" s="97" t="n"/>
      <c r="H111" s="97" t="n"/>
      <c r="I111" s="97" t="n"/>
      <c r="J111" s="97" t="n"/>
      <c r="L111" s="97" t="n"/>
      <c r="M111" s="97" t="n"/>
      <c r="N111" s="97" t="n"/>
      <c r="O111" s="97" t="n"/>
      <c r="Q111" s="97" t="n"/>
      <c r="R111" s="97" t="n"/>
      <c r="S111" s="97" t="n"/>
      <c r="T111" s="97" t="n"/>
      <c r="U111" s="97" t="n"/>
      <c r="V111" s="97" t="n"/>
      <c r="W111" s="97" t="n"/>
      <c r="X111" s="97" t="n"/>
      <c r="Y111" s="97" t="n"/>
      <c r="Z111" s="97" t="n"/>
      <c r="AA111" s="97" t="n"/>
      <c r="AB111" s="97" t="n"/>
      <c r="AC111" s="97" t="n"/>
      <c r="AD111" s="97" t="n"/>
      <c r="AE111" s="97" t="n"/>
      <c r="AF111" s="97" t="n"/>
      <c r="AG111" s="97" t="n"/>
      <c r="AH111" s="97" t="n"/>
      <c r="AI111" s="97" t="n"/>
      <c r="AJ111" s="97" t="n"/>
      <c r="AK111" s="97" t="n"/>
      <c r="AL111" s="97" t="n"/>
      <c r="AM111" s="97" t="n"/>
      <c r="AN111" s="97" t="n"/>
      <c r="AO111" s="97" t="n"/>
      <c r="AP111" s="97" t="n"/>
      <c r="AQ111" s="97" t="n"/>
      <c r="AR111" s="97" t="n"/>
      <c r="AS111" s="97" t="n"/>
      <c r="AT111" s="97" t="n"/>
      <c r="AU111" s="97" t="n"/>
      <c r="AV111" s="97" t="n"/>
      <c r="AW111" s="97" t="n"/>
      <c r="AX111" s="97" t="n"/>
      <c r="AY111" s="97" t="n"/>
      <c r="AZ111" s="97" t="n"/>
      <c r="BA111" s="97" t="n"/>
      <c r="BB111" s="97" t="n"/>
    </row>
    <row r="112" ht="22" customHeight="1" s="110">
      <c r="A112" s="96" t="n"/>
      <c r="B112" s="96" t="n"/>
      <c r="C112" s="96" t="n"/>
      <c r="D112" s="96" t="n"/>
      <c r="E112" s="96" t="n"/>
      <c r="F112" s="96" t="n"/>
      <c r="G112" s="96" t="n"/>
      <c r="H112" s="96" t="n"/>
      <c r="I112" s="96" t="n"/>
      <c r="J112" s="96" t="n"/>
      <c r="L112" s="96" t="n"/>
      <c r="M112" s="96" t="n"/>
      <c r="N112" s="96" t="n"/>
      <c r="O112" s="96" t="n"/>
      <c r="Q112" s="96" t="n"/>
      <c r="R112" s="96" t="n"/>
      <c r="S112" s="96" t="n"/>
      <c r="T112" s="96" t="n"/>
      <c r="U112" s="96" t="n"/>
      <c r="V112" s="96" t="n"/>
      <c r="W112" s="96" t="n"/>
      <c r="X112" s="96" t="n"/>
      <c r="Y112" s="96" t="n"/>
      <c r="Z112" s="96" t="n"/>
      <c r="AA112" s="96" t="n"/>
      <c r="AB112" s="96" t="n"/>
      <c r="AC112" s="96" t="n"/>
      <c r="AD112" s="96" t="n"/>
      <c r="AE112" s="96" t="n"/>
      <c r="AF112" s="96" t="n"/>
      <c r="AG112" s="96" t="n"/>
      <c r="AH112" s="96" t="n"/>
      <c r="AI112" s="96" t="n"/>
      <c r="AJ112" s="96" t="n"/>
      <c r="AK112" s="96" t="n"/>
      <c r="AL112" s="96" t="n"/>
      <c r="AM112" s="96" t="n"/>
      <c r="AN112" s="96" t="n"/>
      <c r="AO112" s="96" t="n"/>
      <c r="AP112" s="96" t="n"/>
      <c r="AQ112" s="96" t="n"/>
      <c r="AR112" s="96" t="n"/>
      <c r="AS112" s="96" t="n"/>
      <c r="AT112" s="96" t="n"/>
      <c r="AU112" s="96" t="n"/>
      <c r="AV112" s="96" t="n"/>
      <c r="AW112" s="96" t="n"/>
      <c r="AX112" s="96" t="n"/>
      <c r="AY112" s="96" t="n"/>
      <c r="AZ112" s="96" t="n"/>
      <c r="BA112" s="96" t="n"/>
      <c r="BB112" s="96" t="n"/>
    </row>
    <row r="113" ht="22" customHeight="1" s="110">
      <c r="A113" s="97" t="n"/>
      <c r="B113" s="97" t="n"/>
      <c r="C113" s="97" t="n"/>
      <c r="D113" s="97" t="n"/>
      <c r="E113" s="97" t="n"/>
      <c r="F113" s="97" t="n"/>
      <c r="G113" s="97" t="n"/>
      <c r="H113" s="97" t="n"/>
      <c r="I113" s="97" t="n"/>
      <c r="J113" s="97" t="n"/>
      <c r="L113" s="97" t="n"/>
      <c r="M113" s="97" t="n"/>
      <c r="N113" s="97" t="n"/>
      <c r="O113" s="97" t="n"/>
      <c r="Q113" s="97" t="n"/>
      <c r="R113" s="97" t="n"/>
      <c r="S113" s="97" t="n"/>
      <c r="T113" s="97" t="n"/>
      <c r="U113" s="97" t="n"/>
      <c r="V113" s="97" t="n"/>
      <c r="W113" s="97" t="n"/>
      <c r="X113" s="97" t="n"/>
      <c r="Y113" s="97" t="n"/>
      <c r="Z113" s="97" t="n"/>
      <c r="AA113" s="97" t="n"/>
      <c r="AB113" s="97" t="n"/>
      <c r="AC113" s="97" t="n"/>
      <c r="AD113" s="97" t="n"/>
      <c r="AE113" s="97" t="n"/>
      <c r="AF113" s="97" t="n"/>
      <c r="AG113" s="97" t="n"/>
      <c r="AH113" s="97" t="n"/>
      <c r="AI113" s="97" t="n"/>
      <c r="AJ113" s="97" t="n"/>
      <c r="AK113" s="97" t="n"/>
      <c r="AL113" s="97" t="n"/>
      <c r="AM113" s="97" t="n"/>
      <c r="AN113" s="97" t="n"/>
      <c r="AO113" s="97" t="n"/>
      <c r="AP113" s="97" t="n"/>
      <c r="AQ113" s="97" t="n"/>
      <c r="AR113" s="97" t="n"/>
      <c r="AS113" s="97" t="n"/>
      <c r="AT113" s="97" t="n"/>
      <c r="AU113" s="97" t="n"/>
      <c r="AV113" s="97" t="n"/>
      <c r="AW113" s="97" t="n"/>
      <c r="AX113" s="97" t="n"/>
      <c r="AY113" s="97" t="n"/>
      <c r="AZ113" s="97" t="n"/>
      <c r="BA113" s="97" t="n"/>
      <c r="BB113" s="97" t="n"/>
    </row>
    <row r="114" ht="22" customHeight="1" s="110">
      <c r="A114" s="96" t="n"/>
      <c r="B114" s="96" t="n"/>
      <c r="C114" s="96" t="n"/>
      <c r="D114" s="96" t="n"/>
      <c r="E114" s="96" t="n"/>
      <c r="F114" s="96" t="n"/>
      <c r="G114" s="96" t="n"/>
      <c r="H114" s="96" t="n"/>
      <c r="I114" s="96" t="n"/>
      <c r="J114" s="96" t="n"/>
      <c r="L114" s="96" t="n"/>
      <c r="M114" s="96" t="n"/>
      <c r="N114" s="96" t="n"/>
      <c r="O114" s="96" t="n"/>
      <c r="Q114" s="96" t="n"/>
      <c r="R114" s="96" t="n"/>
      <c r="S114" s="96" t="n"/>
      <c r="T114" s="96" t="n"/>
      <c r="U114" s="96" t="n"/>
      <c r="V114" s="96" t="n"/>
      <c r="W114" s="96" t="n"/>
      <c r="X114" s="96" t="n"/>
      <c r="Y114" s="96" t="n"/>
      <c r="Z114" s="96" t="n"/>
      <c r="AA114" s="96" t="n"/>
      <c r="AB114" s="96" t="n"/>
      <c r="AC114" s="96" t="n"/>
      <c r="AD114" s="96" t="n"/>
      <c r="AE114" s="96" t="n"/>
      <c r="AF114" s="96" t="n"/>
      <c r="AG114" s="96" t="n"/>
      <c r="AH114" s="96" t="n"/>
      <c r="AI114" s="96" t="n"/>
      <c r="AJ114" s="96" t="n"/>
      <c r="AK114" s="96" t="n"/>
      <c r="AL114" s="96" t="n"/>
      <c r="AM114" s="96" t="n"/>
      <c r="AN114" s="96" t="n"/>
      <c r="AO114" s="96" t="n"/>
      <c r="AP114" s="96" t="n"/>
      <c r="AQ114" s="96" t="n"/>
      <c r="AR114" s="96" t="n"/>
      <c r="AS114" s="96" t="n"/>
      <c r="AT114" s="96" t="n"/>
      <c r="AU114" s="96" t="n"/>
      <c r="AV114" s="96" t="n"/>
      <c r="AW114" s="96" t="n"/>
      <c r="AX114" s="96" t="n"/>
      <c r="AY114" s="96" t="n"/>
      <c r="AZ114" s="96" t="n"/>
      <c r="BA114" s="96" t="n"/>
      <c r="BB114" s="96" t="n"/>
    </row>
    <row r="115" ht="22" customHeight="1" s="110">
      <c r="A115" s="97" t="n"/>
      <c r="B115" s="97" t="n"/>
      <c r="C115" s="97" t="n"/>
      <c r="D115" s="97" t="n"/>
      <c r="E115" s="97" t="n"/>
      <c r="F115" s="97" t="n"/>
      <c r="G115" s="97" t="n"/>
      <c r="H115" s="97" t="n"/>
      <c r="I115" s="97" t="n"/>
      <c r="J115" s="97" t="n"/>
      <c r="L115" s="97" t="n"/>
      <c r="M115" s="97" t="n"/>
      <c r="N115" s="97" t="n"/>
      <c r="O115" s="97" t="n"/>
      <c r="Q115" s="97" t="n"/>
      <c r="R115" s="97" t="n"/>
      <c r="S115" s="97" t="n"/>
      <c r="T115" s="97" t="n"/>
      <c r="U115" s="97" t="n"/>
      <c r="V115" s="97" t="n"/>
      <c r="W115" s="97" t="n"/>
      <c r="X115" s="97" t="n"/>
      <c r="Y115" s="97" t="n"/>
      <c r="Z115" s="97" t="n"/>
      <c r="AA115" s="97" t="n"/>
      <c r="AB115" s="97" t="n"/>
      <c r="AC115" s="97" t="n"/>
      <c r="AD115" s="97" t="n"/>
      <c r="AE115" s="97" t="n"/>
      <c r="AF115" s="97" t="n"/>
      <c r="AG115" s="97" t="n"/>
      <c r="AH115" s="97" t="n"/>
      <c r="AI115" s="97" t="n"/>
      <c r="AJ115" s="97" t="n"/>
      <c r="AK115" s="97" t="n"/>
      <c r="AL115" s="97" t="n"/>
      <c r="AM115" s="97" t="n"/>
      <c r="AN115" s="97" t="n"/>
      <c r="AO115" s="97" t="n"/>
      <c r="AP115" s="97" t="n"/>
      <c r="AQ115" s="97" t="n"/>
      <c r="AR115" s="97" t="n"/>
      <c r="AS115" s="97" t="n"/>
      <c r="AT115" s="97" t="n"/>
      <c r="AU115" s="97" t="n"/>
      <c r="AV115" s="97" t="n"/>
      <c r="AW115" s="97" t="n"/>
      <c r="AX115" s="97" t="n"/>
      <c r="AY115" s="97" t="n"/>
      <c r="AZ115" s="97" t="n"/>
      <c r="BA115" s="97" t="n"/>
      <c r="BB115" s="97" t="n"/>
    </row>
    <row r="116" ht="22" customHeight="1" s="110">
      <c r="A116" s="96" t="n"/>
      <c r="B116" s="96" t="n"/>
      <c r="C116" s="96" t="n"/>
      <c r="D116" s="96" t="n"/>
      <c r="E116" s="96" t="n"/>
      <c r="F116" s="96" t="n"/>
      <c r="G116" s="96" t="n"/>
      <c r="H116" s="96" t="n"/>
      <c r="I116" s="96" t="n"/>
      <c r="J116" s="96" t="n"/>
      <c r="L116" s="96" t="n"/>
      <c r="M116" s="96" t="n"/>
      <c r="N116" s="96" t="n"/>
      <c r="O116" s="96" t="n"/>
      <c r="Q116" s="96" t="n"/>
      <c r="R116" s="96" t="n"/>
      <c r="S116" s="96" t="n"/>
      <c r="T116" s="96" t="n"/>
      <c r="U116" s="96" t="n"/>
      <c r="V116" s="96" t="n"/>
      <c r="W116" s="96" t="n"/>
      <c r="X116" s="96" t="n"/>
      <c r="Y116" s="96" t="n"/>
      <c r="Z116" s="96" t="n"/>
      <c r="AA116" s="96" t="n"/>
      <c r="AB116" s="96" t="n"/>
      <c r="AC116" s="96" t="n"/>
      <c r="AD116" s="96" t="n"/>
      <c r="AE116" s="96" t="n"/>
      <c r="AF116" s="96" t="n"/>
      <c r="AG116" s="96" t="n"/>
      <c r="AH116" s="96" t="n"/>
      <c r="AI116" s="96" t="n"/>
      <c r="AJ116" s="96" t="n"/>
      <c r="AK116" s="96" t="n"/>
      <c r="AL116" s="96" t="n"/>
      <c r="AM116" s="96" t="n"/>
      <c r="AN116" s="96" t="n"/>
      <c r="AO116" s="96" t="n"/>
      <c r="AP116" s="96" t="n"/>
      <c r="AQ116" s="96" t="n"/>
      <c r="AR116" s="96" t="n"/>
      <c r="AS116" s="96" t="n"/>
      <c r="AT116" s="96" t="n"/>
      <c r="AU116" s="96" t="n"/>
      <c r="AV116" s="96" t="n"/>
      <c r="AW116" s="96" t="n"/>
      <c r="AX116" s="96" t="n"/>
      <c r="AY116" s="96" t="n"/>
      <c r="AZ116" s="96" t="n"/>
      <c r="BA116" s="96" t="n"/>
      <c r="BB116" s="96" t="n"/>
    </row>
    <row r="117" ht="22" customHeight="1" s="110">
      <c r="A117" s="97" t="n"/>
      <c r="B117" s="97" t="n"/>
      <c r="C117" s="97" t="n"/>
      <c r="D117" s="97" t="n"/>
      <c r="E117" s="97" t="n"/>
      <c r="F117" s="97" t="n"/>
      <c r="G117" s="97" t="n"/>
      <c r="H117" s="97" t="n"/>
      <c r="I117" s="97" t="n"/>
      <c r="J117" s="97" t="n"/>
      <c r="L117" s="97" t="n"/>
      <c r="M117" s="97" t="n"/>
      <c r="N117" s="97" t="n"/>
      <c r="O117" s="97" t="n"/>
      <c r="Q117" s="97" t="n"/>
      <c r="R117" s="97" t="n"/>
      <c r="S117" s="97" t="n"/>
      <c r="T117" s="97" t="n"/>
      <c r="U117" s="97" t="n"/>
      <c r="V117" s="97" t="n"/>
      <c r="W117" s="97" t="n"/>
      <c r="X117" s="97" t="n"/>
      <c r="Y117" s="97" t="n"/>
      <c r="Z117" s="97" t="n"/>
      <c r="AA117" s="97" t="n"/>
      <c r="AB117" s="97" t="n"/>
      <c r="AC117" s="97" t="n"/>
      <c r="AD117" s="97" t="n"/>
      <c r="AE117" s="97" t="n"/>
      <c r="AF117" s="97" t="n"/>
      <c r="AG117" s="97" t="n"/>
      <c r="AH117" s="97" t="n"/>
      <c r="AI117" s="97" t="n"/>
      <c r="AJ117" s="97" t="n"/>
      <c r="AK117" s="97" t="n"/>
      <c r="AL117" s="97" t="n"/>
      <c r="AM117" s="97" t="n"/>
      <c r="AN117" s="97" t="n"/>
      <c r="AO117" s="97" t="n"/>
      <c r="AP117" s="97" t="n"/>
      <c r="AQ117" s="97" t="n"/>
      <c r="AR117" s="97" t="n"/>
      <c r="AS117" s="97" t="n"/>
      <c r="AT117" s="97" t="n"/>
      <c r="AU117" s="97" t="n"/>
      <c r="AV117" s="97" t="n"/>
      <c r="AW117" s="97" t="n"/>
      <c r="AX117" s="97" t="n"/>
      <c r="AY117" s="97" t="n"/>
      <c r="AZ117" s="97" t="n"/>
      <c r="BA117" s="97" t="n"/>
      <c r="BB117" s="97" t="n"/>
    </row>
    <row r="118" ht="22" customHeight="1" s="110">
      <c r="A118" s="96" t="n"/>
      <c r="B118" s="96" t="n"/>
      <c r="C118" s="96" t="n"/>
      <c r="D118" s="96" t="n"/>
      <c r="E118" s="96" t="n"/>
      <c r="F118" s="96" t="n"/>
      <c r="G118" s="96" t="n"/>
      <c r="H118" s="96" t="n"/>
      <c r="I118" s="96" t="n"/>
      <c r="J118" s="96" t="n"/>
      <c r="L118" s="96" t="n"/>
      <c r="M118" s="96" t="n"/>
      <c r="N118" s="96" t="n"/>
      <c r="O118" s="96" t="n"/>
      <c r="Q118" s="96" t="n"/>
      <c r="R118" s="96" t="n"/>
      <c r="S118" s="96" t="n"/>
      <c r="T118" s="96" t="n"/>
      <c r="U118" s="96" t="n"/>
      <c r="V118" s="96" t="n"/>
      <c r="W118" s="96" t="n"/>
      <c r="X118" s="96" t="n"/>
      <c r="Y118" s="96" t="n"/>
      <c r="Z118" s="96" t="n"/>
      <c r="AA118" s="96" t="n"/>
      <c r="AB118" s="96" t="n"/>
      <c r="AC118" s="96" t="n"/>
      <c r="AD118" s="96" t="n"/>
      <c r="AE118" s="96" t="n"/>
      <c r="AF118" s="96" t="n"/>
      <c r="AG118" s="96" t="n"/>
      <c r="AH118" s="96" t="n"/>
      <c r="AI118" s="96" t="n"/>
      <c r="AJ118" s="96" t="n"/>
      <c r="AK118" s="96" t="n"/>
      <c r="AL118" s="96" t="n"/>
      <c r="AM118" s="96" t="n"/>
      <c r="AN118" s="96" t="n"/>
      <c r="AO118" s="96" t="n"/>
      <c r="AP118" s="96" t="n"/>
      <c r="AQ118" s="96" t="n"/>
      <c r="AR118" s="96" t="n"/>
      <c r="AS118" s="96" t="n"/>
      <c r="AT118" s="96" t="n"/>
      <c r="AU118" s="96" t="n"/>
      <c r="AV118" s="96" t="n"/>
      <c r="AW118" s="96" t="n"/>
      <c r="AX118" s="96" t="n"/>
      <c r="AY118" s="96" t="n"/>
      <c r="AZ118" s="96" t="n"/>
      <c r="BA118" s="96" t="n"/>
      <c r="BB118" s="96" t="n"/>
    </row>
    <row r="119" ht="22" customHeight="1" s="110">
      <c r="A119" s="97" t="n"/>
      <c r="B119" s="97" t="n"/>
      <c r="C119" s="97" t="n"/>
      <c r="D119" s="97" t="n"/>
      <c r="E119" s="97" t="n"/>
      <c r="F119" s="97" t="n"/>
      <c r="G119" s="97" t="n"/>
      <c r="H119" s="97" t="n"/>
      <c r="I119" s="97" t="n"/>
      <c r="J119" s="97" t="n"/>
      <c r="L119" s="97" t="n"/>
      <c r="M119" s="97" t="n"/>
      <c r="N119" s="97" t="n"/>
      <c r="O119" s="97" t="n"/>
      <c r="Q119" s="97" t="n"/>
      <c r="R119" s="97" t="n"/>
      <c r="S119" s="97" t="n"/>
      <c r="T119" s="97" t="n"/>
      <c r="U119" s="97" t="n"/>
      <c r="V119" s="97" t="n"/>
      <c r="W119" s="97" t="n"/>
      <c r="X119" s="97" t="n"/>
      <c r="Y119" s="97" t="n"/>
      <c r="Z119" s="97" t="n"/>
      <c r="AA119" s="97" t="n"/>
      <c r="AB119" s="97" t="n"/>
      <c r="AC119" s="97" t="n"/>
      <c r="AD119" s="97" t="n"/>
      <c r="AE119" s="97" t="n"/>
      <c r="AF119" s="97" t="n"/>
      <c r="AG119" s="97" t="n"/>
      <c r="AH119" s="97" t="n"/>
      <c r="AI119" s="97" t="n"/>
      <c r="AJ119" s="97" t="n"/>
      <c r="AK119" s="97" t="n"/>
      <c r="AL119" s="97" t="n"/>
      <c r="AM119" s="97" t="n"/>
      <c r="AN119" s="97" t="n"/>
      <c r="AO119" s="97" t="n"/>
      <c r="AP119" s="97" t="n"/>
      <c r="AQ119" s="97" t="n"/>
      <c r="AR119" s="97" t="n"/>
      <c r="AS119" s="97" t="n"/>
      <c r="AT119" s="97" t="n"/>
      <c r="AU119" s="97" t="n"/>
      <c r="AV119" s="97" t="n"/>
      <c r="AW119" s="97" t="n"/>
      <c r="AX119" s="97" t="n"/>
      <c r="AY119" s="97" t="n"/>
      <c r="AZ119" s="97" t="n"/>
      <c r="BA119" s="97" t="n"/>
      <c r="BB119" s="97" t="n"/>
    </row>
    <row r="120" ht="22" customHeight="1" s="110">
      <c r="A120" s="96" t="n"/>
      <c r="B120" s="96" t="n"/>
      <c r="C120" s="96" t="n"/>
      <c r="D120" s="96" t="n"/>
      <c r="E120" s="96" t="n"/>
      <c r="F120" s="96" t="n"/>
      <c r="G120" s="96" t="n"/>
      <c r="H120" s="96" t="n"/>
      <c r="I120" s="96" t="n"/>
      <c r="J120" s="96" t="n"/>
      <c r="L120" s="96" t="n"/>
      <c r="M120" s="96" t="n"/>
      <c r="N120" s="96" t="n"/>
      <c r="O120" s="96" t="n"/>
      <c r="Q120" s="96" t="n"/>
      <c r="R120" s="96" t="n"/>
      <c r="S120" s="96" t="n"/>
      <c r="T120" s="96" t="n"/>
      <c r="U120" s="96" t="n"/>
      <c r="V120" s="96" t="n"/>
      <c r="W120" s="96" t="n"/>
      <c r="X120" s="96" t="n"/>
      <c r="Y120" s="96" t="n"/>
      <c r="Z120" s="96" t="n"/>
      <c r="AA120" s="96" t="n"/>
      <c r="AB120" s="96" t="n"/>
      <c r="AC120" s="96" t="n"/>
      <c r="AD120" s="96" t="n"/>
      <c r="AE120" s="96" t="n"/>
      <c r="AF120" s="96" t="n"/>
      <c r="AG120" s="96" t="n"/>
      <c r="AH120" s="96" t="n"/>
      <c r="AI120" s="96" t="n"/>
      <c r="AJ120" s="96" t="n"/>
      <c r="AK120" s="96" t="n"/>
      <c r="AL120" s="96" t="n"/>
      <c r="AM120" s="96" t="n"/>
      <c r="AN120" s="96" t="n"/>
      <c r="AO120" s="96" t="n"/>
      <c r="AP120" s="96" t="n"/>
      <c r="AQ120" s="96" t="n"/>
      <c r="AR120" s="96" t="n"/>
      <c r="AS120" s="96" t="n"/>
      <c r="AT120" s="96" t="n"/>
      <c r="AU120" s="96" t="n"/>
      <c r="AV120" s="96" t="n"/>
      <c r="AW120" s="96" t="n"/>
      <c r="AX120" s="96" t="n"/>
      <c r="AY120" s="96" t="n"/>
      <c r="AZ120" s="96" t="n"/>
      <c r="BA120" s="96" t="n"/>
      <c r="BB120" s="96" t="n"/>
    </row>
    <row r="121" ht="22" customHeight="1" s="110">
      <c r="A121" s="97" t="n"/>
      <c r="B121" s="97" t="n"/>
      <c r="C121" s="97" t="n"/>
      <c r="D121" s="97" t="n"/>
      <c r="E121" s="97" t="n"/>
      <c r="F121" s="97" t="n"/>
      <c r="G121" s="97" t="n"/>
      <c r="H121" s="97" t="n"/>
      <c r="I121" s="97" t="n"/>
      <c r="J121" s="97" t="n"/>
      <c r="L121" s="97" t="n"/>
      <c r="M121" s="97" t="n"/>
      <c r="N121" s="97" t="n"/>
      <c r="O121" s="97" t="n"/>
      <c r="Q121" s="97" t="n"/>
      <c r="R121" s="97" t="n"/>
      <c r="S121" s="97" t="n"/>
      <c r="T121" s="97" t="n"/>
      <c r="U121" s="97" t="n"/>
      <c r="V121" s="97" t="n"/>
      <c r="W121" s="97" t="n"/>
      <c r="X121" s="97" t="n"/>
      <c r="Y121" s="97" t="n"/>
      <c r="Z121" s="97" t="n"/>
      <c r="AA121" s="97" t="n"/>
      <c r="AB121" s="97" t="n"/>
      <c r="AC121" s="97" t="n"/>
      <c r="AD121" s="97" t="n"/>
      <c r="AE121" s="97" t="n"/>
      <c r="AF121" s="97" t="n"/>
      <c r="AG121" s="97" t="n"/>
      <c r="AH121" s="97" t="n"/>
      <c r="AI121" s="97" t="n"/>
      <c r="AJ121" s="97" t="n"/>
      <c r="AK121" s="97" t="n"/>
      <c r="AL121" s="97" t="n"/>
      <c r="AM121" s="97" t="n"/>
      <c r="AN121" s="97" t="n"/>
      <c r="AO121" s="97" t="n"/>
      <c r="AP121" s="97" t="n"/>
      <c r="AQ121" s="97" t="n"/>
      <c r="AR121" s="97" t="n"/>
      <c r="AS121" s="97" t="n"/>
      <c r="AT121" s="97" t="n"/>
      <c r="AU121" s="97" t="n"/>
      <c r="AV121" s="97" t="n"/>
      <c r="AW121" s="97" t="n"/>
      <c r="AX121" s="97" t="n"/>
      <c r="AY121" s="97" t="n"/>
      <c r="AZ121" s="97" t="n"/>
      <c r="BA121" s="97" t="n"/>
      <c r="BB121" s="97" t="n"/>
    </row>
    <row r="122" ht="22" customHeight="1" s="110">
      <c r="A122" s="96" t="n"/>
      <c r="B122" s="96" t="n"/>
      <c r="C122" s="96" t="n"/>
      <c r="D122" s="96" t="n"/>
      <c r="E122" s="96" t="n"/>
      <c r="F122" s="96" t="n"/>
      <c r="G122" s="96" t="n"/>
      <c r="H122" s="96" t="n"/>
      <c r="I122" s="96" t="n"/>
      <c r="J122" s="96" t="n"/>
      <c r="L122" s="96" t="n"/>
      <c r="M122" s="96" t="n"/>
      <c r="N122" s="96" t="n"/>
      <c r="O122" s="96" t="n"/>
      <c r="Q122" s="96" t="n"/>
      <c r="R122" s="96" t="n"/>
      <c r="S122" s="96" t="n"/>
      <c r="T122" s="96" t="n"/>
      <c r="U122" s="96" t="n"/>
      <c r="V122" s="96" t="n"/>
      <c r="W122" s="96" t="n"/>
      <c r="X122" s="96" t="n"/>
      <c r="Y122" s="96" t="n"/>
      <c r="Z122" s="96" t="n"/>
      <c r="AA122" s="96" t="n"/>
      <c r="AB122" s="96" t="n"/>
      <c r="AC122" s="96" t="n"/>
      <c r="AD122" s="96" t="n"/>
      <c r="AE122" s="96" t="n"/>
      <c r="AF122" s="96" t="n"/>
      <c r="AG122" s="96" t="n"/>
      <c r="AH122" s="96" t="n"/>
      <c r="AI122" s="96" t="n"/>
      <c r="AJ122" s="96" t="n"/>
      <c r="AK122" s="96" t="n"/>
      <c r="AL122" s="96" t="n"/>
      <c r="AM122" s="96" t="n"/>
      <c r="AN122" s="96" t="n"/>
      <c r="AO122" s="96" t="n"/>
      <c r="AP122" s="96" t="n"/>
      <c r="AQ122" s="96" t="n"/>
      <c r="AR122" s="96" t="n"/>
      <c r="AS122" s="96" t="n"/>
      <c r="AT122" s="96" t="n"/>
      <c r="AU122" s="96" t="n"/>
      <c r="AV122" s="96" t="n"/>
      <c r="AW122" s="96" t="n"/>
      <c r="AX122" s="96" t="n"/>
      <c r="AY122" s="96" t="n"/>
      <c r="AZ122" s="96" t="n"/>
      <c r="BA122" s="96" t="n"/>
      <c r="BB122" s="96" t="n"/>
    </row>
    <row r="123" ht="22" customHeight="1" s="110">
      <c r="A123" s="97" t="n"/>
      <c r="B123" s="97" t="n"/>
      <c r="C123" s="97" t="n"/>
      <c r="D123" s="97" t="n"/>
      <c r="E123" s="97" t="n"/>
      <c r="F123" s="97" t="n"/>
      <c r="G123" s="97" t="n"/>
      <c r="H123" s="97" t="n"/>
      <c r="I123" s="97" t="n"/>
      <c r="J123" s="97" t="n"/>
      <c r="L123" s="97" t="n"/>
      <c r="M123" s="97" t="n"/>
      <c r="N123" s="97" t="n"/>
      <c r="O123" s="97" t="n"/>
      <c r="Q123" s="97" t="n"/>
      <c r="R123" s="97" t="n"/>
      <c r="S123" s="97" t="n"/>
      <c r="T123" s="97" t="n"/>
      <c r="U123" s="97" t="n"/>
      <c r="V123" s="97" t="n"/>
      <c r="W123" s="97" t="n"/>
      <c r="X123" s="97" t="n"/>
      <c r="Y123" s="97" t="n"/>
      <c r="Z123" s="97" t="n"/>
      <c r="AA123" s="97" t="n"/>
      <c r="AB123" s="97" t="n"/>
      <c r="AC123" s="97" t="n"/>
      <c r="AD123" s="97" t="n"/>
      <c r="AE123" s="97" t="n"/>
      <c r="AF123" s="97" t="n"/>
      <c r="AG123" s="97" t="n"/>
      <c r="AH123" s="97" t="n"/>
      <c r="AI123" s="97" t="n"/>
      <c r="AJ123" s="97" t="n"/>
      <c r="AK123" s="97" t="n"/>
      <c r="AL123" s="97" t="n"/>
      <c r="AM123" s="97" t="n"/>
      <c r="AN123" s="97" t="n"/>
      <c r="AO123" s="97" t="n"/>
      <c r="AP123" s="97" t="n"/>
      <c r="AQ123" s="97" t="n"/>
      <c r="AR123" s="97" t="n"/>
      <c r="AS123" s="97" t="n"/>
      <c r="AT123" s="97" t="n"/>
      <c r="AU123" s="97" t="n"/>
      <c r="AV123" s="97" t="n"/>
      <c r="AW123" s="97" t="n"/>
      <c r="AX123" s="97" t="n"/>
      <c r="AY123" s="97" t="n"/>
      <c r="AZ123" s="97" t="n"/>
      <c r="BA123" s="97" t="n"/>
      <c r="BB123" s="97" t="n"/>
    </row>
    <row r="124" ht="22" customHeight="1" s="110">
      <c r="A124" s="96" t="n"/>
      <c r="B124" s="96" t="n"/>
      <c r="C124" s="96" t="n"/>
      <c r="D124" s="96" t="n"/>
      <c r="E124" s="96" t="n"/>
      <c r="F124" s="96" t="n"/>
      <c r="G124" s="96" t="n"/>
      <c r="H124" s="96" t="n"/>
      <c r="I124" s="96" t="n"/>
      <c r="J124" s="96" t="n"/>
      <c r="L124" s="96" t="n"/>
      <c r="M124" s="96" t="n"/>
      <c r="N124" s="96" t="n"/>
      <c r="O124" s="96" t="n"/>
      <c r="Q124" s="96" t="n"/>
      <c r="R124" s="96" t="n"/>
      <c r="S124" s="96" t="n"/>
      <c r="T124" s="96" t="n"/>
      <c r="U124" s="96" t="n"/>
      <c r="V124" s="96" t="n"/>
      <c r="W124" s="96" t="n"/>
      <c r="X124" s="96" t="n"/>
      <c r="Y124" s="96" t="n"/>
      <c r="Z124" s="96" t="n"/>
      <c r="AA124" s="96" t="n"/>
      <c r="AB124" s="96" t="n"/>
      <c r="AC124" s="96" t="n"/>
      <c r="AD124" s="96" t="n"/>
      <c r="AE124" s="96" t="n"/>
      <c r="AF124" s="96" t="n"/>
      <c r="AG124" s="96" t="n"/>
      <c r="AH124" s="96" t="n"/>
      <c r="AI124" s="96" t="n"/>
      <c r="AJ124" s="96" t="n"/>
      <c r="AK124" s="96" t="n"/>
      <c r="AL124" s="96" t="n"/>
      <c r="AM124" s="96" t="n"/>
      <c r="AN124" s="96" t="n"/>
      <c r="AO124" s="96" t="n"/>
      <c r="AP124" s="96" t="n"/>
      <c r="AQ124" s="96" t="n"/>
      <c r="AR124" s="96" t="n"/>
      <c r="AS124" s="96" t="n"/>
      <c r="AT124" s="96" t="n"/>
      <c r="AU124" s="96" t="n"/>
      <c r="AV124" s="96" t="n"/>
      <c r="AW124" s="96" t="n"/>
      <c r="AX124" s="96" t="n"/>
      <c r="AY124" s="96" t="n"/>
      <c r="AZ124" s="96" t="n"/>
      <c r="BA124" s="96" t="n"/>
      <c r="BB124" s="96" t="n"/>
    </row>
    <row r="125" ht="22" customHeight="1" s="110">
      <c r="A125" s="97" t="n"/>
      <c r="B125" s="97" t="n"/>
      <c r="C125" s="97" t="n"/>
      <c r="D125" s="97" t="n"/>
      <c r="E125" s="97" t="n"/>
      <c r="F125" s="97" t="n"/>
      <c r="G125" s="97" t="n"/>
      <c r="H125" s="97" t="n"/>
      <c r="I125" s="97" t="n"/>
      <c r="J125" s="97" t="n"/>
      <c r="L125" s="97" t="n"/>
      <c r="M125" s="97" t="n"/>
      <c r="N125" s="97" t="n"/>
      <c r="O125" s="97" t="n"/>
      <c r="Q125" s="97" t="n"/>
      <c r="R125" s="97" t="n"/>
      <c r="S125" s="97" t="n"/>
      <c r="T125" s="97" t="n"/>
      <c r="U125" s="97" t="n"/>
      <c r="V125" s="97" t="n"/>
      <c r="W125" s="97" t="n"/>
      <c r="X125" s="97" t="n"/>
      <c r="Y125" s="97" t="n"/>
      <c r="Z125" s="97" t="n"/>
      <c r="AA125" s="97" t="n"/>
      <c r="AB125" s="97" t="n"/>
      <c r="AC125" s="97" t="n"/>
      <c r="AD125" s="97" t="n"/>
      <c r="AE125" s="97" t="n"/>
      <c r="AF125" s="97" t="n"/>
      <c r="AG125" s="97" t="n"/>
      <c r="AH125" s="97" t="n"/>
      <c r="AI125" s="97" t="n"/>
      <c r="AJ125" s="97" t="n"/>
      <c r="AK125" s="97" t="n"/>
      <c r="AL125" s="97" t="n"/>
      <c r="AM125" s="97" t="n"/>
      <c r="AN125" s="97" t="n"/>
      <c r="AO125" s="97" t="n"/>
      <c r="AP125" s="97" t="n"/>
      <c r="AQ125" s="97" t="n"/>
      <c r="AR125" s="97" t="n"/>
      <c r="AS125" s="97" t="n"/>
      <c r="AT125" s="97" t="n"/>
      <c r="AU125" s="97" t="n"/>
      <c r="AV125" s="97" t="n"/>
      <c r="AW125" s="97" t="n"/>
      <c r="AX125" s="97" t="n"/>
      <c r="AY125" s="97" t="n"/>
      <c r="AZ125" s="97" t="n"/>
      <c r="BA125" s="97" t="n"/>
      <c r="BB125" s="97" t="n"/>
    </row>
    <row r="126" ht="22" customHeight="1" s="110">
      <c r="A126" s="96" t="n"/>
      <c r="B126" s="96" t="n"/>
      <c r="C126" s="96" t="n"/>
      <c r="D126" s="96" t="n"/>
      <c r="E126" s="96" t="n"/>
      <c r="F126" s="96" t="n"/>
      <c r="G126" s="96" t="n"/>
      <c r="H126" s="96" t="n"/>
      <c r="I126" s="96" t="n"/>
      <c r="J126" s="96" t="n"/>
      <c r="L126" s="96" t="n"/>
      <c r="M126" s="96" t="n"/>
      <c r="N126" s="96" t="n"/>
      <c r="O126" s="96" t="n"/>
      <c r="Q126" s="96" t="n"/>
      <c r="R126" s="96" t="n"/>
      <c r="S126" s="96" t="n"/>
      <c r="T126" s="96" t="n"/>
      <c r="U126" s="96" t="n"/>
      <c r="V126" s="96" t="n"/>
      <c r="W126" s="96" t="n"/>
      <c r="X126" s="96" t="n"/>
      <c r="Y126" s="96" t="n"/>
      <c r="Z126" s="96" t="n"/>
      <c r="AA126" s="96" t="n"/>
      <c r="AB126" s="96" t="n"/>
      <c r="AC126" s="96" t="n"/>
      <c r="AD126" s="96" t="n"/>
      <c r="AE126" s="96" t="n"/>
      <c r="AF126" s="96" t="n"/>
      <c r="AG126" s="96" t="n"/>
      <c r="AH126" s="96" t="n"/>
      <c r="AI126" s="96" t="n"/>
      <c r="AJ126" s="96" t="n"/>
      <c r="AK126" s="96" t="n"/>
      <c r="AL126" s="96" t="n"/>
      <c r="AM126" s="96" t="n"/>
      <c r="AN126" s="96" t="n"/>
      <c r="AO126" s="96" t="n"/>
      <c r="AP126" s="96" t="n"/>
      <c r="AQ126" s="96" t="n"/>
      <c r="AR126" s="96" t="n"/>
      <c r="AS126" s="96" t="n"/>
      <c r="AT126" s="96" t="n"/>
      <c r="AU126" s="96" t="n"/>
      <c r="AV126" s="96" t="n"/>
      <c r="AW126" s="96" t="n"/>
      <c r="AX126" s="96" t="n"/>
      <c r="AY126" s="96" t="n"/>
      <c r="AZ126" s="96" t="n"/>
      <c r="BA126" s="96" t="n"/>
      <c r="BB126" s="96" t="n"/>
    </row>
    <row r="127" ht="22" customHeight="1" s="110">
      <c r="A127" s="97" t="n"/>
      <c r="B127" s="97" t="n"/>
      <c r="C127" s="97" t="n"/>
      <c r="D127" s="97" t="n"/>
      <c r="E127" s="97" t="n"/>
      <c r="F127" s="97" t="n"/>
      <c r="G127" s="97" t="n"/>
      <c r="H127" s="97" t="n"/>
      <c r="I127" s="97" t="n"/>
      <c r="J127" s="97" t="n"/>
      <c r="L127" s="97" t="n"/>
      <c r="M127" s="97" t="n"/>
      <c r="N127" s="97" t="n"/>
      <c r="O127" s="97" t="n"/>
      <c r="Q127" s="97" t="n"/>
      <c r="R127" s="97" t="n"/>
      <c r="S127" s="97" t="n"/>
      <c r="T127" s="97" t="n"/>
      <c r="U127" s="97" t="n"/>
      <c r="V127" s="97" t="n"/>
      <c r="W127" s="97" t="n"/>
      <c r="X127" s="97" t="n"/>
      <c r="Y127" s="97" t="n"/>
      <c r="Z127" s="97" t="n"/>
      <c r="AA127" s="97" t="n"/>
      <c r="AB127" s="97" t="n"/>
      <c r="AC127" s="97" t="n"/>
      <c r="AD127" s="97" t="n"/>
      <c r="AE127" s="97" t="n"/>
      <c r="AF127" s="97" t="n"/>
      <c r="AG127" s="97" t="n"/>
      <c r="AH127" s="97" t="n"/>
      <c r="AI127" s="97" t="n"/>
      <c r="AJ127" s="97" t="n"/>
      <c r="AK127" s="97" t="n"/>
      <c r="AL127" s="97" t="n"/>
      <c r="AM127" s="97" t="n"/>
      <c r="AN127" s="97" t="n"/>
      <c r="AO127" s="97" t="n"/>
      <c r="AP127" s="97" t="n"/>
      <c r="AQ127" s="97" t="n"/>
      <c r="AR127" s="97" t="n"/>
      <c r="AS127" s="97" t="n"/>
      <c r="AT127" s="97" t="n"/>
      <c r="AU127" s="97" t="n"/>
      <c r="AV127" s="97" t="n"/>
      <c r="AW127" s="97" t="n"/>
      <c r="AX127" s="97" t="n"/>
      <c r="AY127" s="97" t="n"/>
      <c r="AZ127" s="97" t="n"/>
      <c r="BA127" s="97" t="n"/>
      <c r="BB127" s="97" t="n"/>
    </row>
    <row r="128" ht="22" customHeight="1" s="110">
      <c r="A128" s="96" t="n"/>
      <c r="B128" s="96" t="n"/>
      <c r="C128" s="96" t="n"/>
      <c r="D128" s="96" t="n"/>
      <c r="E128" s="96" t="n"/>
      <c r="F128" s="96" t="n"/>
      <c r="G128" s="96" t="n"/>
      <c r="H128" s="96" t="n"/>
      <c r="I128" s="96" t="n"/>
      <c r="J128" s="96" t="n"/>
      <c r="L128" s="96" t="n"/>
      <c r="M128" s="96" t="n"/>
      <c r="N128" s="96" t="n"/>
      <c r="O128" s="96" t="n"/>
      <c r="Q128" s="96" t="n"/>
      <c r="R128" s="96" t="n"/>
      <c r="S128" s="96" t="n"/>
      <c r="T128" s="96" t="n"/>
      <c r="U128" s="96" t="n"/>
      <c r="V128" s="96" t="n"/>
      <c r="W128" s="96" t="n"/>
      <c r="X128" s="96" t="n"/>
      <c r="Y128" s="96" t="n"/>
      <c r="Z128" s="96" t="n"/>
      <c r="AA128" s="96" t="n"/>
      <c r="AB128" s="96" t="n"/>
      <c r="AC128" s="96" t="n"/>
      <c r="AD128" s="96" t="n"/>
      <c r="AE128" s="96" t="n"/>
      <c r="AF128" s="96" t="n"/>
      <c r="AG128" s="96" t="n"/>
      <c r="AH128" s="96" t="n"/>
      <c r="AI128" s="96" t="n"/>
      <c r="AJ128" s="96" t="n"/>
      <c r="AK128" s="96" t="n"/>
      <c r="AL128" s="96" t="n"/>
      <c r="AM128" s="96" t="n"/>
      <c r="AN128" s="96" t="n"/>
      <c r="AO128" s="96" t="n"/>
      <c r="AP128" s="96" t="n"/>
      <c r="AQ128" s="96" t="n"/>
      <c r="AR128" s="96" t="n"/>
      <c r="AS128" s="96" t="n"/>
      <c r="AT128" s="96" t="n"/>
      <c r="AU128" s="96" t="n"/>
      <c r="AV128" s="96" t="n"/>
      <c r="AW128" s="96" t="n"/>
      <c r="AX128" s="96" t="n"/>
      <c r="AY128" s="96" t="n"/>
      <c r="AZ128" s="96" t="n"/>
      <c r="BA128" s="96" t="n"/>
      <c r="BB128" s="96" t="n"/>
    </row>
    <row r="129" ht="22" customHeight="1" s="110">
      <c r="A129" s="97" t="n"/>
      <c r="B129" s="97" t="n"/>
      <c r="C129" s="97" t="n"/>
      <c r="D129" s="97" t="n"/>
      <c r="E129" s="97" t="n"/>
      <c r="F129" s="97" t="n"/>
      <c r="G129" s="97" t="n"/>
      <c r="H129" s="97" t="n"/>
      <c r="I129" s="97" t="n"/>
      <c r="J129" s="97" t="n"/>
      <c r="L129" s="97" t="n"/>
      <c r="M129" s="97" t="n"/>
      <c r="N129" s="97" t="n"/>
      <c r="O129" s="97" t="n"/>
      <c r="Q129" s="97" t="n"/>
      <c r="R129" s="97" t="n"/>
      <c r="S129" s="97" t="n"/>
      <c r="T129" s="97" t="n"/>
      <c r="U129" s="97" t="n"/>
      <c r="V129" s="97" t="n"/>
      <c r="W129" s="97" t="n"/>
      <c r="X129" s="97" t="n"/>
      <c r="Y129" s="97" t="n"/>
      <c r="Z129" s="97" t="n"/>
      <c r="AA129" s="97" t="n"/>
      <c r="AB129" s="97" t="n"/>
      <c r="AC129" s="97" t="n"/>
      <c r="AD129" s="97" t="n"/>
      <c r="AE129" s="97" t="n"/>
      <c r="AF129" s="97" t="n"/>
      <c r="AG129" s="97" t="n"/>
      <c r="AH129" s="97" t="n"/>
      <c r="AI129" s="97" t="n"/>
      <c r="AJ129" s="97" t="n"/>
      <c r="AK129" s="97" t="n"/>
      <c r="AL129" s="97" t="n"/>
      <c r="AM129" s="97" t="n"/>
      <c r="AN129" s="97" t="n"/>
      <c r="AO129" s="97" t="n"/>
      <c r="AP129" s="97" t="n"/>
      <c r="AQ129" s="97" t="n"/>
      <c r="AR129" s="97" t="n"/>
      <c r="AS129" s="97" t="n"/>
      <c r="AT129" s="97" t="n"/>
      <c r="AU129" s="97" t="n"/>
      <c r="AV129" s="97" t="n"/>
      <c r="AW129" s="97" t="n"/>
      <c r="AX129" s="97" t="n"/>
      <c r="AY129" s="97" t="n"/>
      <c r="AZ129" s="97" t="n"/>
      <c r="BA129" s="97" t="n"/>
      <c r="BB129" s="97" t="n"/>
    </row>
    <row r="130" ht="22" customHeight="1" s="110">
      <c r="A130" s="96" t="n"/>
      <c r="B130" s="96" t="n"/>
      <c r="C130" s="96" t="n"/>
      <c r="D130" s="96" t="n"/>
      <c r="E130" s="96" t="n"/>
      <c r="F130" s="96" t="n"/>
      <c r="G130" s="96" t="n"/>
      <c r="H130" s="96" t="n"/>
      <c r="I130" s="96" t="n"/>
      <c r="J130" s="96" t="n"/>
      <c r="L130" s="96" t="n"/>
      <c r="M130" s="96" t="n"/>
      <c r="N130" s="96" t="n"/>
      <c r="O130" s="96" t="n"/>
      <c r="Q130" s="96" t="n"/>
      <c r="R130" s="96" t="n"/>
      <c r="S130" s="96" t="n"/>
      <c r="T130" s="96" t="n"/>
      <c r="U130" s="96" t="n"/>
      <c r="V130" s="96" t="n"/>
      <c r="W130" s="96" t="n"/>
      <c r="X130" s="96" t="n"/>
      <c r="Y130" s="96" t="n"/>
      <c r="Z130" s="96" t="n"/>
      <c r="AA130" s="96" t="n"/>
      <c r="AB130" s="96" t="n"/>
      <c r="AC130" s="96" t="n"/>
      <c r="AD130" s="96" t="n"/>
      <c r="AE130" s="96" t="n"/>
      <c r="AF130" s="96" t="n"/>
      <c r="AG130" s="96" t="n"/>
      <c r="AH130" s="96" t="n"/>
      <c r="AI130" s="96" t="n"/>
      <c r="AJ130" s="96" t="n"/>
      <c r="AK130" s="96" t="n"/>
      <c r="AL130" s="96" t="n"/>
      <c r="AM130" s="96" t="n"/>
      <c r="AN130" s="96" t="n"/>
      <c r="AO130" s="96" t="n"/>
      <c r="AP130" s="96" t="n"/>
      <c r="AQ130" s="96" t="n"/>
      <c r="AR130" s="96" t="n"/>
      <c r="AS130" s="96" t="n"/>
      <c r="AT130" s="96" t="n"/>
      <c r="AU130" s="96" t="n"/>
      <c r="AV130" s="96" t="n"/>
      <c r="AW130" s="96" t="n"/>
      <c r="AX130" s="96" t="n"/>
      <c r="AY130" s="96" t="n"/>
      <c r="AZ130" s="96" t="n"/>
      <c r="BA130" s="96" t="n"/>
      <c r="BB130" s="96" t="n"/>
    </row>
    <row r="131" ht="22" customHeight="1" s="110">
      <c r="A131" s="97" t="n"/>
      <c r="B131" s="97" t="n"/>
      <c r="C131" s="97" t="n"/>
      <c r="D131" s="97" t="n"/>
      <c r="E131" s="97" t="n"/>
      <c r="F131" s="97" t="n"/>
      <c r="G131" s="97" t="n"/>
      <c r="H131" s="97" t="n"/>
      <c r="I131" s="97" t="n"/>
      <c r="J131" s="97" t="n"/>
      <c r="L131" s="97" t="n"/>
      <c r="M131" s="97" t="n"/>
      <c r="N131" s="97" t="n"/>
      <c r="O131" s="97" t="n"/>
      <c r="Q131" s="97" t="n"/>
      <c r="R131" s="97" t="n"/>
      <c r="S131" s="97" t="n"/>
      <c r="T131" s="97" t="n"/>
      <c r="U131" s="97" t="n"/>
      <c r="V131" s="97" t="n"/>
      <c r="W131" s="97" t="n"/>
      <c r="X131" s="97" t="n"/>
      <c r="Y131" s="97" t="n"/>
      <c r="Z131" s="97" t="n"/>
      <c r="AA131" s="97" t="n"/>
      <c r="AB131" s="97" t="n"/>
      <c r="AC131" s="97" t="n"/>
      <c r="AD131" s="97" t="n"/>
      <c r="AE131" s="97" t="n"/>
      <c r="AF131" s="97" t="n"/>
      <c r="AG131" s="97" t="n"/>
      <c r="AH131" s="97" t="n"/>
      <c r="AI131" s="97" t="n"/>
      <c r="AJ131" s="97" t="n"/>
      <c r="AK131" s="97" t="n"/>
      <c r="AL131" s="97" t="n"/>
      <c r="AM131" s="97" t="n"/>
      <c r="AN131" s="97" t="n"/>
      <c r="AO131" s="97" t="n"/>
      <c r="AP131" s="97" t="n"/>
      <c r="AQ131" s="97" t="n"/>
      <c r="AR131" s="97" t="n"/>
      <c r="AS131" s="97" t="n"/>
      <c r="AT131" s="97" t="n"/>
      <c r="AU131" s="97" t="n"/>
      <c r="AV131" s="97" t="n"/>
      <c r="AW131" s="97" t="n"/>
      <c r="AX131" s="97" t="n"/>
      <c r="AY131" s="97" t="n"/>
      <c r="AZ131" s="97" t="n"/>
      <c r="BA131" s="97" t="n"/>
      <c r="BB131" s="97" t="n"/>
    </row>
    <row r="132" ht="22" customHeight="1" s="110">
      <c r="A132" s="96" t="n"/>
      <c r="B132" s="96" t="n"/>
      <c r="C132" s="96" t="n"/>
      <c r="D132" s="96" t="n"/>
      <c r="E132" s="96" t="n"/>
      <c r="F132" s="96" t="n"/>
      <c r="G132" s="96" t="n"/>
      <c r="H132" s="96" t="n"/>
      <c r="I132" s="96" t="n"/>
      <c r="J132" s="96" t="n"/>
      <c r="L132" s="96" t="n"/>
      <c r="M132" s="96" t="n"/>
      <c r="N132" s="96" t="n"/>
      <c r="O132" s="96" t="n"/>
      <c r="Q132" s="96" t="n"/>
      <c r="R132" s="96" t="n"/>
      <c r="S132" s="96" t="n"/>
      <c r="T132" s="96" t="n"/>
      <c r="U132" s="96" t="n"/>
      <c r="V132" s="96" t="n"/>
      <c r="W132" s="96" t="n"/>
      <c r="X132" s="96" t="n"/>
      <c r="Y132" s="96" t="n"/>
      <c r="Z132" s="96" t="n"/>
      <c r="AA132" s="96" t="n"/>
      <c r="AB132" s="96" t="n"/>
      <c r="AC132" s="96" t="n"/>
      <c r="AD132" s="96" t="n"/>
      <c r="AE132" s="96" t="n"/>
      <c r="AF132" s="96" t="n"/>
      <c r="AG132" s="96" t="n"/>
      <c r="AH132" s="96" t="n"/>
      <c r="AI132" s="96" t="n"/>
      <c r="AJ132" s="96" t="n"/>
      <c r="AK132" s="96" t="n"/>
      <c r="AL132" s="96" t="n"/>
      <c r="AM132" s="96" t="n"/>
      <c r="AN132" s="96" t="n"/>
      <c r="AO132" s="96" t="n"/>
      <c r="AP132" s="96" t="n"/>
      <c r="AQ132" s="96" t="n"/>
      <c r="AR132" s="96" t="n"/>
      <c r="AS132" s="96" t="n"/>
      <c r="AT132" s="96" t="n"/>
      <c r="AU132" s="96" t="n"/>
      <c r="AV132" s="96" t="n"/>
      <c r="AW132" s="96" t="n"/>
      <c r="AX132" s="96" t="n"/>
      <c r="AY132" s="96" t="n"/>
      <c r="AZ132" s="96" t="n"/>
      <c r="BA132" s="96" t="n"/>
      <c r="BB132" s="96" t="n"/>
    </row>
    <row r="133" ht="22" customHeight="1" s="110">
      <c r="A133" s="97" t="n"/>
      <c r="B133" s="97" t="n"/>
      <c r="C133" s="97" t="n"/>
      <c r="D133" s="97" t="n"/>
      <c r="E133" s="97" t="n"/>
      <c r="F133" s="97" t="n"/>
      <c r="G133" s="97" t="n"/>
      <c r="H133" s="97" t="n"/>
      <c r="I133" s="97" t="n"/>
      <c r="J133" s="97" t="n"/>
      <c r="L133" s="97" t="n"/>
      <c r="M133" s="97" t="n"/>
      <c r="N133" s="97" t="n"/>
      <c r="O133" s="97" t="n"/>
      <c r="Q133" s="97" t="n"/>
      <c r="R133" s="97" t="n"/>
      <c r="S133" s="97" t="n"/>
      <c r="T133" s="97" t="n"/>
      <c r="U133" s="97" t="n"/>
      <c r="V133" s="97" t="n"/>
      <c r="W133" s="97" t="n"/>
      <c r="X133" s="97" t="n"/>
      <c r="Y133" s="97" t="n"/>
      <c r="Z133" s="97" t="n"/>
      <c r="AA133" s="97" t="n"/>
      <c r="AB133" s="97" t="n"/>
      <c r="AC133" s="97" t="n"/>
      <c r="AD133" s="97" t="n"/>
      <c r="AE133" s="97" t="n"/>
      <c r="AF133" s="97" t="n"/>
      <c r="AG133" s="97" t="n"/>
      <c r="AH133" s="97" t="n"/>
      <c r="AI133" s="97" t="n"/>
      <c r="AJ133" s="97" t="n"/>
      <c r="AK133" s="97" t="n"/>
      <c r="AL133" s="97" t="n"/>
      <c r="AM133" s="97" t="n"/>
      <c r="AN133" s="97" t="n"/>
      <c r="AO133" s="97" t="n"/>
      <c r="AP133" s="97" t="n"/>
      <c r="AQ133" s="97" t="n"/>
      <c r="AR133" s="97" t="n"/>
      <c r="AS133" s="97" t="n"/>
      <c r="AT133" s="97" t="n"/>
      <c r="AU133" s="97" t="n"/>
      <c r="AV133" s="97" t="n"/>
      <c r="AW133" s="97" t="n"/>
      <c r="AX133" s="97" t="n"/>
      <c r="AY133" s="97" t="n"/>
      <c r="AZ133" s="97" t="n"/>
      <c r="BA133" s="97" t="n"/>
      <c r="BB133" s="97" t="n"/>
    </row>
    <row r="134" ht="22" customHeight="1" s="110">
      <c r="A134" s="96" t="n"/>
      <c r="B134" s="96" t="n"/>
      <c r="C134" s="96" t="n"/>
      <c r="D134" s="96" t="n"/>
      <c r="E134" s="96" t="n"/>
      <c r="F134" s="96" t="n"/>
      <c r="G134" s="96" t="n"/>
      <c r="H134" s="96" t="n"/>
      <c r="I134" s="96" t="n"/>
      <c r="J134" s="96" t="n"/>
      <c r="L134" s="96" t="n"/>
      <c r="M134" s="96" t="n"/>
      <c r="N134" s="96" t="n"/>
      <c r="O134" s="96" t="n"/>
      <c r="Q134" s="96" t="n"/>
      <c r="R134" s="96" t="n"/>
      <c r="S134" s="96" t="n"/>
      <c r="T134" s="96" t="n"/>
      <c r="U134" s="96" t="n"/>
      <c r="V134" s="96" t="n"/>
      <c r="W134" s="96" t="n"/>
      <c r="X134" s="96" t="n"/>
      <c r="Y134" s="96" t="n"/>
      <c r="Z134" s="96" t="n"/>
      <c r="AA134" s="96" t="n"/>
      <c r="AB134" s="96" t="n"/>
      <c r="AC134" s="96" t="n"/>
      <c r="AD134" s="96" t="n"/>
      <c r="AE134" s="96" t="n"/>
      <c r="AF134" s="96" t="n"/>
      <c r="AG134" s="96" t="n"/>
      <c r="AH134" s="96" t="n"/>
      <c r="AI134" s="96" t="n"/>
      <c r="AJ134" s="96" t="n"/>
      <c r="AK134" s="96" t="n"/>
      <c r="AL134" s="96" t="n"/>
      <c r="AM134" s="96" t="n"/>
      <c r="AN134" s="96" t="n"/>
      <c r="AO134" s="96" t="n"/>
      <c r="AP134" s="96" t="n"/>
      <c r="AQ134" s="96" t="n"/>
      <c r="AR134" s="96" t="n"/>
      <c r="AS134" s="96" t="n"/>
      <c r="AT134" s="96" t="n"/>
      <c r="AU134" s="96" t="n"/>
      <c r="AV134" s="96" t="n"/>
      <c r="AW134" s="96" t="n"/>
      <c r="AX134" s="96" t="n"/>
      <c r="AY134" s="96" t="n"/>
      <c r="AZ134" s="96" t="n"/>
      <c r="BA134" s="96" t="n"/>
      <c r="BB134" s="96" t="n"/>
    </row>
    <row r="135" ht="22" customHeight="1" s="110">
      <c r="A135" s="97" t="n"/>
      <c r="B135" s="97" t="n"/>
      <c r="C135" s="97" t="n"/>
      <c r="D135" s="97" t="n"/>
      <c r="E135" s="97" t="n"/>
      <c r="F135" s="97" t="n"/>
      <c r="G135" s="97" t="n"/>
      <c r="H135" s="97" t="n"/>
      <c r="I135" s="97" t="n"/>
      <c r="J135" s="97" t="n"/>
      <c r="L135" s="97" t="n"/>
      <c r="M135" s="97" t="n"/>
      <c r="N135" s="97" t="n"/>
      <c r="O135" s="97" t="n"/>
      <c r="Q135" s="97" t="n"/>
      <c r="R135" s="97" t="n"/>
      <c r="S135" s="97" t="n"/>
      <c r="T135" s="97" t="n"/>
      <c r="U135" s="97" t="n"/>
      <c r="V135" s="97" t="n"/>
      <c r="W135" s="97" t="n"/>
      <c r="X135" s="97" t="n"/>
      <c r="Y135" s="97" t="n"/>
      <c r="Z135" s="97" t="n"/>
      <c r="AA135" s="97" t="n"/>
      <c r="AB135" s="97" t="n"/>
      <c r="AC135" s="97" t="n"/>
      <c r="AD135" s="97" t="n"/>
      <c r="AE135" s="97" t="n"/>
      <c r="AF135" s="97" t="n"/>
      <c r="AG135" s="97" t="n"/>
      <c r="AH135" s="97" t="n"/>
      <c r="AI135" s="97" t="n"/>
      <c r="AJ135" s="97" t="n"/>
      <c r="AK135" s="97" t="n"/>
      <c r="AL135" s="97" t="n"/>
      <c r="AM135" s="97" t="n"/>
      <c r="AN135" s="97" t="n"/>
      <c r="AO135" s="97" t="n"/>
      <c r="AP135" s="97" t="n"/>
      <c r="AQ135" s="97" t="n"/>
      <c r="AR135" s="97" t="n"/>
      <c r="AS135" s="97" t="n"/>
      <c r="AT135" s="97" t="n"/>
      <c r="AU135" s="97" t="n"/>
      <c r="AV135" s="97" t="n"/>
      <c r="AW135" s="97" t="n"/>
      <c r="AX135" s="97" t="n"/>
      <c r="AY135" s="97" t="n"/>
      <c r="AZ135" s="97" t="n"/>
      <c r="BA135" s="97" t="n"/>
      <c r="BB135" s="97" t="n"/>
    </row>
    <row r="136" ht="22" customHeight="1" s="110">
      <c r="A136" s="96" t="n"/>
      <c r="B136" s="96" t="n"/>
      <c r="C136" s="96" t="n"/>
      <c r="D136" s="96" t="n"/>
      <c r="E136" s="96" t="n"/>
      <c r="F136" s="96" t="n"/>
      <c r="G136" s="96" t="n"/>
      <c r="H136" s="96" t="n"/>
      <c r="I136" s="96" t="n"/>
      <c r="J136" s="96" t="n"/>
      <c r="L136" s="96" t="n"/>
      <c r="M136" s="96" t="n"/>
      <c r="N136" s="96" t="n"/>
      <c r="O136" s="96" t="n"/>
      <c r="Q136" s="96" t="n"/>
      <c r="R136" s="96" t="n"/>
      <c r="S136" s="96" t="n"/>
      <c r="T136" s="96" t="n"/>
      <c r="U136" s="96" t="n"/>
      <c r="V136" s="96" t="n"/>
      <c r="W136" s="96" t="n"/>
      <c r="X136" s="96" t="n"/>
      <c r="Y136" s="96" t="n"/>
      <c r="Z136" s="96" t="n"/>
      <c r="AA136" s="96" t="n"/>
      <c r="AB136" s="96" t="n"/>
      <c r="AC136" s="96" t="n"/>
      <c r="AD136" s="96" t="n"/>
      <c r="AE136" s="96" t="n"/>
      <c r="AF136" s="96" t="n"/>
      <c r="AG136" s="96" t="n"/>
      <c r="AH136" s="96" t="n"/>
      <c r="AI136" s="96" t="n"/>
      <c r="AJ136" s="96" t="n"/>
      <c r="AK136" s="96" t="n"/>
      <c r="AL136" s="96" t="n"/>
      <c r="AM136" s="96" t="n"/>
      <c r="AN136" s="96" t="n"/>
      <c r="AO136" s="96" t="n"/>
      <c r="AP136" s="96" t="n"/>
      <c r="AQ136" s="96" t="n"/>
      <c r="AR136" s="96" t="n"/>
      <c r="AS136" s="96" t="n"/>
      <c r="AT136" s="96" t="n"/>
      <c r="AU136" s="96" t="n"/>
      <c r="AV136" s="96" t="n"/>
      <c r="AW136" s="96" t="n"/>
      <c r="AX136" s="96" t="n"/>
      <c r="AY136" s="96" t="n"/>
      <c r="AZ136" s="96" t="n"/>
      <c r="BA136" s="96" t="n"/>
      <c r="BB136" s="96" t="n"/>
    </row>
    <row r="137" ht="22" customHeight="1" s="110">
      <c r="A137" s="97" t="n"/>
      <c r="B137" s="97" t="n"/>
      <c r="C137" s="97" t="n"/>
      <c r="D137" s="97" t="n"/>
      <c r="E137" s="97" t="n"/>
      <c r="F137" s="97" t="n"/>
      <c r="G137" s="97" t="n"/>
      <c r="H137" s="97" t="n"/>
      <c r="I137" s="97" t="n"/>
      <c r="J137" s="97" t="n"/>
      <c r="L137" s="97" t="n"/>
      <c r="M137" s="97" t="n"/>
      <c r="N137" s="97" t="n"/>
      <c r="O137" s="97" t="n"/>
      <c r="Q137" s="97" t="n"/>
      <c r="R137" s="97" t="n"/>
      <c r="S137" s="97" t="n"/>
      <c r="T137" s="97" t="n"/>
      <c r="U137" s="97" t="n"/>
      <c r="V137" s="97" t="n"/>
      <c r="W137" s="97" t="n"/>
      <c r="X137" s="97" t="n"/>
      <c r="Y137" s="97" t="n"/>
      <c r="Z137" s="97" t="n"/>
      <c r="AA137" s="97" t="n"/>
      <c r="AB137" s="97" t="n"/>
      <c r="AC137" s="97" t="n"/>
      <c r="AD137" s="97" t="n"/>
      <c r="AE137" s="97" t="n"/>
      <c r="AF137" s="97" t="n"/>
      <c r="AG137" s="97" t="n"/>
      <c r="AH137" s="97" t="n"/>
      <c r="AI137" s="97" t="n"/>
      <c r="AJ137" s="97" t="n"/>
      <c r="AK137" s="97" t="n"/>
      <c r="AL137" s="97" t="n"/>
      <c r="AM137" s="97" t="n"/>
      <c r="AN137" s="97" t="n"/>
      <c r="AO137" s="97" t="n"/>
      <c r="AP137" s="97" t="n"/>
      <c r="AQ137" s="97" t="n"/>
      <c r="AR137" s="97" t="n"/>
      <c r="AS137" s="97" t="n"/>
      <c r="AT137" s="97" t="n"/>
      <c r="AU137" s="97" t="n"/>
      <c r="AV137" s="97" t="n"/>
      <c r="AW137" s="97" t="n"/>
      <c r="AX137" s="97" t="n"/>
      <c r="AY137" s="97" t="n"/>
      <c r="AZ137" s="97" t="n"/>
      <c r="BA137" s="97" t="n"/>
      <c r="BB137" s="97" t="n"/>
    </row>
    <row r="138" ht="22" customHeight="1" s="110">
      <c r="A138" s="96" t="n"/>
      <c r="B138" s="96" t="n"/>
      <c r="C138" s="96" t="n"/>
      <c r="D138" s="96" t="n"/>
      <c r="E138" s="96" t="n"/>
      <c r="F138" s="96" t="n"/>
      <c r="G138" s="96" t="n"/>
      <c r="H138" s="96" t="n"/>
      <c r="I138" s="96" t="n"/>
      <c r="J138" s="96" t="n"/>
      <c r="L138" s="96" t="n"/>
      <c r="M138" s="96" t="n"/>
      <c r="N138" s="96" t="n"/>
      <c r="O138" s="96" t="n"/>
      <c r="Q138" s="96" t="n"/>
      <c r="R138" s="96" t="n"/>
      <c r="S138" s="96" t="n"/>
      <c r="T138" s="96" t="n"/>
      <c r="U138" s="96" t="n"/>
      <c r="V138" s="96" t="n"/>
      <c r="W138" s="96" t="n"/>
      <c r="X138" s="96" t="n"/>
      <c r="Y138" s="96" t="n"/>
      <c r="Z138" s="96" t="n"/>
      <c r="AA138" s="96" t="n"/>
      <c r="AB138" s="96" t="n"/>
      <c r="AC138" s="96" t="n"/>
      <c r="AD138" s="96" t="n"/>
      <c r="AE138" s="96" t="n"/>
      <c r="AF138" s="96" t="n"/>
      <c r="AG138" s="96" t="n"/>
      <c r="AH138" s="96" t="n"/>
      <c r="AI138" s="96" t="n"/>
      <c r="AJ138" s="96" t="n"/>
      <c r="AK138" s="96" t="n"/>
      <c r="AL138" s="96" t="n"/>
      <c r="AM138" s="96" t="n"/>
      <c r="AN138" s="96" t="n"/>
      <c r="AO138" s="96" t="n"/>
      <c r="AP138" s="96" t="n"/>
      <c r="AQ138" s="96" t="n"/>
      <c r="AR138" s="96" t="n"/>
      <c r="AS138" s="96" t="n"/>
      <c r="AT138" s="96" t="n"/>
      <c r="AU138" s="96" t="n"/>
      <c r="AV138" s="96" t="n"/>
      <c r="AW138" s="96" t="n"/>
      <c r="AX138" s="96" t="n"/>
      <c r="AY138" s="96" t="n"/>
      <c r="AZ138" s="96" t="n"/>
      <c r="BA138" s="96" t="n"/>
      <c r="BB138" s="96" t="n"/>
    </row>
    <row r="139" ht="22" customHeight="1" s="110">
      <c r="A139" s="97" t="n"/>
      <c r="B139" s="97" t="n"/>
      <c r="C139" s="97" t="n"/>
      <c r="D139" s="97" t="n"/>
      <c r="E139" s="97" t="n"/>
      <c r="F139" s="97" t="n"/>
      <c r="G139" s="97" t="n"/>
      <c r="H139" s="97" t="n"/>
      <c r="I139" s="97" t="n"/>
      <c r="J139" s="97" t="n"/>
      <c r="L139" s="97" t="n"/>
      <c r="M139" s="97" t="n"/>
      <c r="N139" s="97" t="n"/>
      <c r="O139" s="97" t="n"/>
      <c r="Q139" s="97" t="n"/>
      <c r="R139" s="97" t="n"/>
      <c r="S139" s="97" t="n"/>
      <c r="T139" s="97" t="n"/>
      <c r="U139" s="97" t="n"/>
      <c r="V139" s="97" t="n"/>
      <c r="W139" s="97" t="n"/>
      <c r="X139" s="97" t="n"/>
      <c r="Y139" s="97" t="n"/>
      <c r="Z139" s="97" t="n"/>
      <c r="AA139" s="97" t="n"/>
      <c r="AB139" s="97" t="n"/>
      <c r="AC139" s="97" t="n"/>
      <c r="AD139" s="97" t="n"/>
      <c r="AE139" s="97" t="n"/>
      <c r="AF139" s="97" t="n"/>
      <c r="AG139" s="97" t="n"/>
      <c r="AH139" s="97" t="n"/>
      <c r="AI139" s="97" t="n"/>
      <c r="AJ139" s="97" t="n"/>
      <c r="AK139" s="97" t="n"/>
      <c r="AL139" s="97" t="n"/>
      <c r="AM139" s="97" t="n"/>
      <c r="AN139" s="97" t="n"/>
      <c r="AO139" s="97" t="n"/>
      <c r="AP139" s="97" t="n"/>
      <c r="AQ139" s="97" t="n"/>
      <c r="AR139" s="97" t="n"/>
      <c r="AS139" s="97" t="n"/>
      <c r="AT139" s="97" t="n"/>
      <c r="AU139" s="97" t="n"/>
      <c r="AV139" s="97" t="n"/>
      <c r="AW139" s="97" t="n"/>
      <c r="AX139" s="97" t="n"/>
      <c r="AY139" s="97" t="n"/>
      <c r="AZ139" s="97" t="n"/>
      <c r="BA139" s="97" t="n"/>
      <c r="BB139" s="97" t="n"/>
    </row>
    <row r="140" ht="22" customHeight="1" s="110">
      <c r="A140" s="96" t="n"/>
      <c r="B140" s="96" t="n"/>
      <c r="C140" s="96" t="n"/>
      <c r="D140" s="96" t="n"/>
      <c r="E140" s="96" t="n"/>
      <c r="F140" s="96" t="n"/>
      <c r="G140" s="96" t="n"/>
      <c r="H140" s="96" t="n"/>
      <c r="I140" s="96" t="n"/>
      <c r="J140" s="96" t="n"/>
      <c r="L140" s="96" t="n"/>
      <c r="M140" s="96" t="n"/>
      <c r="N140" s="96" t="n"/>
      <c r="O140" s="96" t="n"/>
      <c r="Q140" s="96" t="n"/>
      <c r="R140" s="96" t="n"/>
      <c r="S140" s="96" t="n"/>
      <c r="T140" s="96" t="n"/>
      <c r="U140" s="96" t="n"/>
      <c r="V140" s="96" t="n"/>
      <c r="W140" s="96" t="n"/>
      <c r="X140" s="96" t="n"/>
      <c r="Y140" s="96" t="n"/>
      <c r="Z140" s="96" t="n"/>
      <c r="AA140" s="96" t="n"/>
      <c r="AB140" s="96" t="n"/>
      <c r="AC140" s="96" t="n"/>
      <c r="AD140" s="96" t="n"/>
      <c r="AE140" s="96" t="n"/>
      <c r="AF140" s="96" t="n"/>
      <c r="AG140" s="96" t="n"/>
      <c r="AH140" s="96" t="n"/>
      <c r="AI140" s="96" t="n"/>
      <c r="AJ140" s="96" t="n"/>
      <c r="AK140" s="96" t="n"/>
      <c r="AL140" s="96" t="n"/>
      <c r="AM140" s="96" t="n"/>
      <c r="AN140" s="96" t="n"/>
      <c r="AO140" s="96" t="n"/>
      <c r="AP140" s="96" t="n"/>
      <c r="AQ140" s="96" t="n"/>
      <c r="AR140" s="96" t="n"/>
      <c r="AS140" s="96" t="n"/>
      <c r="AT140" s="96" t="n"/>
      <c r="AU140" s="96" t="n"/>
      <c r="AV140" s="96" t="n"/>
      <c r="AW140" s="96" t="n"/>
      <c r="AX140" s="96" t="n"/>
      <c r="AY140" s="96" t="n"/>
      <c r="AZ140" s="96" t="n"/>
      <c r="BA140" s="96" t="n"/>
      <c r="BB140" s="96" t="n"/>
    </row>
    <row r="141" ht="22" customHeight="1" s="110">
      <c r="A141" s="97" t="n"/>
      <c r="B141" s="97" t="n"/>
      <c r="C141" s="97" t="n"/>
      <c r="D141" s="97" t="n"/>
      <c r="E141" s="97" t="n"/>
      <c r="F141" s="97" t="n"/>
      <c r="G141" s="97" t="n"/>
      <c r="H141" s="97" t="n"/>
      <c r="I141" s="97" t="n"/>
      <c r="J141" s="97" t="n"/>
      <c r="L141" s="97" t="n"/>
      <c r="M141" s="97" t="n"/>
      <c r="N141" s="97" t="n"/>
      <c r="O141" s="97" t="n"/>
      <c r="Q141" s="97" t="n"/>
      <c r="R141" s="97" t="n"/>
      <c r="S141" s="97" t="n"/>
      <c r="T141" s="97" t="n"/>
      <c r="U141" s="97" t="n"/>
      <c r="V141" s="97" t="n"/>
      <c r="W141" s="97" t="n"/>
      <c r="X141" s="97" t="n"/>
      <c r="Y141" s="97" t="n"/>
      <c r="Z141" s="97" t="n"/>
      <c r="AA141" s="97" t="n"/>
      <c r="AB141" s="97" t="n"/>
      <c r="AC141" s="97" t="n"/>
      <c r="AD141" s="97" t="n"/>
      <c r="AE141" s="97" t="n"/>
      <c r="AF141" s="97" t="n"/>
      <c r="AG141" s="97" t="n"/>
      <c r="AH141" s="97" t="n"/>
      <c r="AI141" s="97" t="n"/>
      <c r="AJ141" s="97" t="n"/>
      <c r="AK141" s="97" t="n"/>
      <c r="AL141" s="97" t="n"/>
      <c r="AM141" s="97" t="n"/>
      <c r="AN141" s="97" t="n"/>
      <c r="AO141" s="97" t="n"/>
      <c r="AP141" s="97" t="n"/>
      <c r="AQ141" s="97" t="n"/>
      <c r="AR141" s="97" t="n"/>
      <c r="AS141" s="97" t="n"/>
      <c r="AT141" s="97" t="n"/>
      <c r="AU141" s="97" t="n"/>
      <c r="AV141" s="97" t="n"/>
      <c r="AW141" s="97" t="n"/>
      <c r="AX141" s="97" t="n"/>
      <c r="AY141" s="97" t="n"/>
      <c r="AZ141" s="97" t="n"/>
      <c r="BA141" s="97" t="n"/>
      <c r="BB141" s="97" t="n"/>
    </row>
    <row r="142" ht="22" customHeight="1" s="110">
      <c r="A142" s="96" t="n"/>
      <c r="B142" s="96" t="n"/>
      <c r="C142" s="96" t="n"/>
      <c r="D142" s="96" t="n"/>
      <c r="E142" s="96" t="n"/>
      <c r="F142" s="96" t="n"/>
      <c r="G142" s="96" t="n"/>
      <c r="H142" s="96" t="n"/>
      <c r="I142" s="96" t="n"/>
      <c r="J142" s="96" t="n"/>
      <c r="L142" s="96" t="n"/>
      <c r="M142" s="96" t="n"/>
      <c r="N142" s="96" t="n"/>
      <c r="O142" s="96" t="n"/>
      <c r="Q142" s="96" t="n"/>
      <c r="R142" s="96" t="n"/>
      <c r="S142" s="96" t="n"/>
      <c r="T142" s="96" t="n"/>
      <c r="U142" s="96" t="n"/>
      <c r="V142" s="96" t="n"/>
      <c r="W142" s="96" t="n"/>
      <c r="X142" s="96" t="n"/>
      <c r="Y142" s="96" t="n"/>
      <c r="Z142" s="96" t="n"/>
      <c r="AA142" s="96" t="n"/>
      <c r="AB142" s="96" t="n"/>
      <c r="AC142" s="96" t="n"/>
      <c r="AD142" s="96" t="n"/>
      <c r="AE142" s="96" t="n"/>
      <c r="AF142" s="96" t="n"/>
      <c r="AG142" s="96" t="n"/>
      <c r="AH142" s="96" t="n"/>
      <c r="AI142" s="96" t="n"/>
      <c r="AJ142" s="96" t="n"/>
      <c r="AK142" s="96" t="n"/>
      <c r="AL142" s="96" t="n"/>
      <c r="AM142" s="96" t="n"/>
      <c r="AN142" s="96" t="n"/>
      <c r="AO142" s="96" t="n"/>
      <c r="AP142" s="96" t="n"/>
      <c r="AQ142" s="96" t="n"/>
      <c r="AR142" s="96" t="n"/>
      <c r="AS142" s="96" t="n"/>
      <c r="AT142" s="96" t="n"/>
      <c r="AU142" s="96" t="n"/>
      <c r="AV142" s="96" t="n"/>
      <c r="AW142" s="96" t="n"/>
      <c r="AX142" s="96" t="n"/>
      <c r="AY142" s="96" t="n"/>
      <c r="AZ142" s="96" t="n"/>
      <c r="BA142" s="96" t="n"/>
      <c r="BB142" s="96" t="n"/>
    </row>
    <row r="143" ht="22" customHeight="1" s="110">
      <c r="A143" s="97" t="n"/>
      <c r="B143" s="97" t="n"/>
      <c r="C143" s="97" t="n"/>
      <c r="D143" s="97" t="n"/>
      <c r="E143" s="97" t="n"/>
      <c r="F143" s="97" t="n"/>
      <c r="G143" s="97" t="n"/>
      <c r="H143" s="97" t="n"/>
      <c r="I143" s="97" t="n"/>
      <c r="J143" s="97" t="n"/>
      <c r="L143" s="97" t="n"/>
      <c r="M143" s="97" t="n"/>
      <c r="N143" s="97" t="n"/>
      <c r="O143" s="97" t="n"/>
      <c r="Q143" s="97" t="n"/>
      <c r="R143" s="97" t="n"/>
      <c r="S143" s="97" t="n"/>
      <c r="T143" s="97" t="n"/>
      <c r="U143" s="97" t="n"/>
      <c r="V143" s="97" t="n"/>
      <c r="W143" s="97" t="n"/>
      <c r="X143" s="97" t="n"/>
      <c r="Y143" s="97" t="n"/>
      <c r="Z143" s="97" t="n"/>
      <c r="AA143" s="97" t="n"/>
      <c r="AB143" s="97" t="n"/>
      <c r="AC143" s="97" t="n"/>
      <c r="AD143" s="97" t="n"/>
      <c r="AE143" s="97" t="n"/>
      <c r="AF143" s="97" t="n"/>
      <c r="AG143" s="97" t="n"/>
      <c r="AH143" s="97" t="n"/>
      <c r="AI143" s="97" t="n"/>
      <c r="AJ143" s="97" t="n"/>
      <c r="AK143" s="97" t="n"/>
      <c r="AL143" s="97" t="n"/>
      <c r="AM143" s="97" t="n"/>
      <c r="AN143" s="97" t="n"/>
      <c r="AO143" s="97" t="n"/>
      <c r="AP143" s="97" t="n"/>
      <c r="AQ143" s="97" t="n"/>
      <c r="AR143" s="97" t="n"/>
      <c r="AS143" s="97" t="n"/>
      <c r="AT143" s="97" t="n"/>
      <c r="AU143" s="97" t="n"/>
      <c r="AV143" s="97" t="n"/>
      <c r="AW143" s="97" t="n"/>
      <c r="AX143" s="97" t="n"/>
      <c r="AY143" s="97" t="n"/>
      <c r="AZ143" s="97" t="n"/>
      <c r="BA143" s="97" t="n"/>
      <c r="BB143" s="97" t="n"/>
    </row>
    <row r="144" ht="22" customHeight="1" s="110">
      <c r="A144" s="96" t="n"/>
      <c r="B144" s="96" t="n"/>
      <c r="C144" s="96" t="n"/>
      <c r="D144" s="96" t="n"/>
      <c r="E144" s="96" t="n"/>
      <c r="F144" s="96" t="n"/>
      <c r="G144" s="96" t="n"/>
      <c r="H144" s="96" t="n"/>
      <c r="I144" s="96" t="n"/>
      <c r="J144" s="96" t="n"/>
      <c r="L144" s="96" t="n"/>
      <c r="M144" s="96" t="n"/>
      <c r="N144" s="96" t="n"/>
      <c r="O144" s="96" t="n"/>
      <c r="Q144" s="96" t="n"/>
      <c r="R144" s="96" t="n"/>
      <c r="S144" s="96" t="n"/>
      <c r="T144" s="96" t="n"/>
      <c r="U144" s="96" t="n"/>
      <c r="V144" s="96" t="n"/>
      <c r="W144" s="96" t="n"/>
      <c r="X144" s="96" t="n"/>
      <c r="Y144" s="96" t="n"/>
      <c r="Z144" s="96" t="n"/>
      <c r="AA144" s="96" t="n"/>
      <c r="AB144" s="96" t="n"/>
      <c r="AC144" s="96" t="n"/>
      <c r="AD144" s="96" t="n"/>
      <c r="AE144" s="96" t="n"/>
      <c r="AF144" s="96" t="n"/>
      <c r="AG144" s="96" t="n"/>
      <c r="AH144" s="96" t="n"/>
      <c r="AI144" s="96" t="n"/>
      <c r="AJ144" s="96" t="n"/>
      <c r="AK144" s="96" t="n"/>
      <c r="AL144" s="96" t="n"/>
      <c r="AM144" s="96" t="n"/>
      <c r="AN144" s="96" t="n"/>
      <c r="AO144" s="96" t="n"/>
      <c r="AP144" s="96" t="n"/>
      <c r="AQ144" s="96" t="n"/>
      <c r="AR144" s="96" t="n"/>
      <c r="AS144" s="96" t="n"/>
      <c r="AT144" s="96" t="n"/>
      <c r="AU144" s="96" t="n"/>
      <c r="AV144" s="96" t="n"/>
      <c r="AW144" s="96" t="n"/>
      <c r="AX144" s="96" t="n"/>
      <c r="AY144" s="96" t="n"/>
      <c r="AZ144" s="96" t="n"/>
      <c r="BA144" s="96" t="n"/>
      <c r="BB144" s="96" t="n"/>
    </row>
    <row r="145" ht="22" customHeight="1" s="110">
      <c r="A145" s="97" t="n"/>
      <c r="B145" s="97" t="n"/>
      <c r="C145" s="97" t="n"/>
      <c r="D145" s="97" t="n"/>
      <c r="E145" s="97" t="n"/>
      <c r="F145" s="97" t="n"/>
      <c r="G145" s="97" t="n"/>
      <c r="H145" s="97" t="n"/>
      <c r="I145" s="97" t="n"/>
      <c r="J145" s="97" t="n"/>
      <c r="L145" s="97" t="n"/>
      <c r="M145" s="97" t="n"/>
      <c r="N145" s="97" t="n"/>
      <c r="O145" s="97" t="n"/>
      <c r="Q145" s="97" t="n"/>
      <c r="R145" s="97" t="n"/>
      <c r="S145" s="97" t="n"/>
      <c r="T145" s="97" t="n"/>
      <c r="U145" s="97" t="n"/>
      <c r="V145" s="97" t="n"/>
      <c r="W145" s="97" t="n"/>
      <c r="X145" s="97" t="n"/>
      <c r="Y145" s="97" t="n"/>
      <c r="Z145" s="97" t="n"/>
      <c r="AA145" s="97" t="n"/>
      <c r="AB145" s="97" t="n"/>
      <c r="AC145" s="97" t="n"/>
      <c r="AD145" s="97" t="n"/>
      <c r="AE145" s="97" t="n"/>
      <c r="AF145" s="97" t="n"/>
      <c r="AG145" s="97" t="n"/>
      <c r="AH145" s="97" t="n"/>
      <c r="AI145" s="97" t="n"/>
      <c r="AJ145" s="97" t="n"/>
      <c r="AK145" s="97" t="n"/>
      <c r="AL145" s="97" t="n"/>
      <c r="AM145" s="97" t="n"/>
      <c r="AN145" s="97" t="n"/>
      <c r="AO145" s="97" t="n"/>
      <c r="AP145" s="97" t="n"/>
      <c r="AQ145" s="97" t="n"/>
      <c r="AR145" s="97" t="n"/>
      <c r="AS145" s="97" t="n"/>
      <c r="AT145" s="97" t="n"/>
      <c r="AU145" s="97" t="n"/>
      <c r="AV145" s="97" t="n"/>
      <c r="AW145" s="97" t="n"/>
      <c r="AX145" s="97" t="n"/>
      <c r="AY145" s="97" t="n"/>
      <c r="AZ145" s="97" t="n"/>
      <c r="BA145" s="97" t="n"/>
      <c r="BB145" s="97" t="n"/>
    </row>
    <row r="146" ht="22" customHeight="1" s="110">
      <c r="A146" s="96" t="n"/>
      <c r="B146" s="96" t="n"/>
      <c r="C146" s="96" t="n"/>
      <c r="D146" s="96" t="n"/>
      <c r="E146" s="96" t="n"/>
      <c r="F146" s="96" t="n"/>
      <c r="G146" s="96" t="n"/>
      <c r="H146" s="96" t="n"/>
      <c r="I146" s="96" t="n"/>
      <c r="J146" s="96" t="n"/>
      <c r="L146" s="96" t="n"/>
      <c r="M146" s="96" t="n"/>
      <c r="N146" s="96" t="n"/>
      <c r="O146" s="96" t="n"/>
      <c r="Q146" s="96" t="n"/>
      <c r="R146" s="96" t="n"/>
      <c r="S146" s="96" t="n"/>
      <c r="T146" s="96" t="n"/>
      <c r="U146" s="96" t="n"/>
      <c r="V146" s="96" t="n"/>
      <c r="W146" s="96" t="n"/>
      <c r="X146" s="96" t="n"/>
      <c r="Y146" s="96" t="n"/>
      <c r="Z146" s="96" t="n"/>
      <c r="AA146" s="96" t="n"/>
      <c r="AB146" s="96" t="n"/>
      <c r="AC146" s="96" t="n"/>
      <c r="AD146" s="96" t="n"/>
      <c r="AE146" s="96" t="n"/>
      <c r="AF146" s="96" t="n"/>
      <c r="AG146" s="96" t="n"/>
      <c r="AH146" s="96" t="n"/>
      <c r="AI146" s="96" t="n"/>
      <c r="AJ146" s="96" t="n"/>
      <c r="AK146" s="96" t="n"/>
      <c r="AL146" s="96" t="n"/>
      <c r="AM146" s="96" t="n"/>
      <c r="AN146" s="96" t="n"/>
      <c r="AO146" s="96" t="n"/>
      <c r="AP146" s="96" t="n"/>
      <c r="AQ146" s="96" t="n"/>
      <c r="AR146" s="96" t="n"/>
      <c r="AS146" s="96" t="n"/>
      <c r="AT146" s="96" t="n"/>
      <c r="AU146" s="96" t="n"/>
      <c r="AV146" s="96" t="n"/>
      <c r="AW146" s="96" t="n"/>
      <c r="AX146" s="96" t="n"/>
      <c r="AY146" s="96" t="n"/>
      <c r="AZ146" s="96" t="n"/>
      <c r="BA146" s="96" t="n"/>
      <c r="BB146" s="96" t="n"/>
    </row>
    <row r="147" ht="22" customHeight="1" s="110">
      <c r="A147" s="97" t="n"/>
      <c r="B147" s="97" t="n"/>
      <c r="C147" s="97" t="n"/>
      <c r="D147" s="97" t="n"/>
      <c r="E147" s="97" t="n"/>
      <c r="F147" s="97" t="n"/>
      <c r="G147" s="97" t="n"/>
      <c r="H147" s="97" t="n"/>
      <c r="I147" s="97" t="n"/>
      <c r="J147" s="97" t="n"/>
      <c r="L147" s="97" t="n"/>
      <c r="M147" s="97" t="n"/>
      <c r="N147" s="97" t="n"/>
      <c r="O147" s="97" t="n"/>
      <c r="Q147" s="97" t="n"/>
      <c r="R147" s="97" t="n"/>
      <c r="S147" s="97" t="n"/>
      <c r="T147" s="97" t="n"/>
      <c r="U147" s="97" t="n"/>
      <c r="V147" s="97" t="n"/>
      <c r="W147" s="97" t="n"/>
      <c r="X147" s="97" t="n"/>
      <c r="Y147" s="97" t="n"/>
      <c r="Z147" s="97" t="n"/>
      <c r="AA147" s="97" t="n"/>
      <c r="AB147" s="97" t="n"/>
      <c r="AC147" s="97" t="n"/>
      <c r="AD147" s="97" t="n"/>
      <c r="AE147" s="97" t="n"/>
      <c r="AF147" s="97" t="n"/>
      <c r="AG147" s="97" t="n"/>
      <c r="AH147" s="97" t="n"/>
      <c r="AI147" s="97" t="n"/>
      <c r="AJ147" s="97" t="n"/>
      <c r="AK147" s="97" t="n"/>
      <c r="AL147" s="97" t="n"/>
      <c r="AM147" s="97" t="n"/>
      <c r="AN147" s="97" t="n"/>
      <c r="AO147" s="97" t="n"/>
      <c r="AP147" s="97" t="n"/>
      <c r="AQ147" s="97" t="n"/>
      <c r="AR147" s="97" t="n"/>
      <c r="AS147" s="97" t="n"/>
      <c r="AT147" s="97" t="n"/>
      <c r="AU147" s="97" t="n"/>
      <c r="AV147" s="97" t="n"/>
      <c r="AW147" s="97" t="n"/>
      <c r="AX147" s="97" t="n"/>
      <c r="AY147" s="97" t="n"/>
      <c r="AZ147" s="97" t="n"/>
      <c r="BA147" s="97" t="n"/>
      <c r="BB147" s="97" t="n"/>
    </row>
    <row r="148" ht="22" customHeight="1" s="110">
      <c r="A148" s="96" t="n"/>
      <c r="B148" s="96" t="n"/>
      <c r="C148" s="96" t="n"/>
      <c r="D148" s="96" t="n"/>
      <c r="E148" s="96" t="n"/>
      <c r="F148" s="96" t="n"/>
      <c r="G148" s="96" t="n"/>
      <c r="H148" s="96" t="n"/>
      <c r="I148" s="96" t="n"/>
      <c r="J148" s="96" t="n"/>
      <c r="L148" s="96" t="n"/>
      <c r="M148" s="96" t="n"/>
      <c r="N148" s="96" t="n"/>
      <c r="O148" s="96" t="n"/>
      <c r="Q148" s="96" t="n"/>
      <c r="R148" s="96" t="n"/>
      <c r="S148" s="96" t="n"/>
      <c r="T148" s="96" t="n"/>
      <c r="U148" s="96" t="n"/>
      <c r="V148" s="96" t="n"/>
      <c r="W148" s="96" t="n"/>
      <c r="X148" s="96" t="n"/>
      <c r="Y148" s="96" t="n"/>
      <c r="Z148" s="96" t="n"/>
      <c r="AA148" s="96" t="n"/>
      <c r="AB148" s="96" t="n"/>
      <c r="AC148" s="96" t="n"/>
      <c r="AD148" s="96" t="n"/>
      <c r="AE148" s="96" t="n"/>
      <c r="AF148" s="96" t="n"/>
      <c r="AG148" s="96" t="n"/>
      <c r="AH148" s="96" t="n"/>
      <c r="AI148" s="96" t="n"/>
      <c r="AJ148" s="96" t="n"/>
      <c r="AK148" s="96" t="n"/>
      <c r="AL148" s="96" t="n"/>
      <c r="AM148" s="96" t="n"/>
      <c r="AN148" s="96" t="n"/>
      <c r="AO148" s="96" t="n"/>
      <c r="AP148" s="96" t="n"/>
      <c r="AQ148" s="96" t="n"/>
      <c r="AR148" s="96" t="n"/>
      <c r="AS148" s="96" t="n"/>
      <c r="AT148" s="96" t="n"/>
      <c r="AU148" s="96" t="n"/>
      <c r="AV148" s="96" t="n"/>
      <c r="AW148" s="96" t="n"/>
      <c r="AX148" s="96" t="n"/>
      <c r="AY148" s="96" t="n"/>
      <c r="AZ148" s="96" t="n"/>
      <c r="BA148" s="96" t="n"/>
      <c r="BB148" s="96" t="n"/>
    </row>
    <row r="149" ht="22" customHeight="1" s="110">
      <c r="A149" s="97" t="n"/>
      <c r="B149" s="97" t="n"/>
      <c r="C149" s="97" t="n"/>
      <c r="D149" s="97" t="n"/>
      <c r="E149" s="97" t="n"/>
      <c r="F149" s="97" t="n"/>
      <c r="G149" s="97" t="n"/>
      <c r="H149" s="97" t="n"/>
      <c r="I149" s="97" t="n"/>
      <c r="J149" s="97" t="n"/>
      <c r="L149" s="97" t="n"/>
      <c r="M149" s="97" t="n"/>
      <c r="N149" s="97" t="n"/>
      <c r="O149" s="97" t="n"/>
      <c r="Q149" s="97" t="n"/>
      <c r="R149" s="97" t="n"/>
      <c r="S149" s="97" t="n"/>
      <c r="T149" s="97" t="n"/>
      <c r="U149" s="97" t="n"/>
      <c r="V149" s="97" t="n"/>
      <c r="W149" s="97" t="n"/>
      <c r="X149" s="97" t="n"/>
      <c r="Y149" s="97" t="n"/>
      <c r="Z149" s="97" t="n"/>
      <c r="AA149" s="97" t="n"/>
      <c r="AB149" s="97" t="n"/>
      <c r="AC149" s="97" t="n"/>
      <c r="AD149" s="97" t="n"/>
      <c r="AE149" s="97" t="n"/>
      <c r="AF149" s="97" t="n"/>
      <c r="AG149" s="97" t="n"/>
      <c r="AH149" s="97" t="n"/>
      <c r="AI149" s="97" t="n"/>
      <c r="AJ149" s="97" t="n"/>
      <c r="AK149" s="97" t="n"/>
      <c r="AL149" s="97" t="n"/>
      <c r="AM149" s="97" t="n"/>
      <c r="AN149" s="97" t="n"/>
      <c r="AO149" s="97" t="n"/>
      <c r="AP149" s="97" t="n"/>
      <c r="AQ149" s="97" t="n"/>
      <c r="AR149" s="97" t="n"/>
      <c r="AS149" s="97" t="n"/>
      <c r="AT149" s="97" t="n"/>
      <c r="AU149" s="97" t="n"/>
      <c r="AV149" s="97" t="n"/>
      <c r="AW149" s="97" t="n"/>
      <c r="AX149" s="97" t="n"/>
      <c r="AY149" s="97" t="n"/>
      <c r="AZ149" s="97" t="n"/>
      <c r="BA149" s="97" t="n"/>
      <c r="BB149" s="97" t="n"/>
    </row>
    <row r="150" ht="22" customHeight="1" s="110">
      <c r="A150" s="96" t="n"/>
      <c r="B150" s="96" t="n"/>
      <c r="C150" s="96" t="n"/>
      <c r="D150" s="96" t="n"/>
      <c r="E150" s="96" t="n"/>
      <c r="F150" s="96" t="n"/>
      <c r="G150" s="96" t="n"/>
      <c r="H150" s="96" t="n"/>
      <c r="I150" s="96" t="n"/>
      <c r="J150" s="96" t="n"/>
      <c r="L150" s="96" t="n"/>
      <c r="M150" s="96" t="n"/>
      <c r="N150" s="96" t="n"/>
      <c r="O150" s="96" t="n"/>
      <c r="Q150" s="96" t="n"/>
      <c r="R150" s="96" t="n"/>
      <c r="S150" s="96" t="n"/>
      <c r="T150" s="96" t="n"/>
      <c r="U150" s="96" t="n"/>
      <c r="V150" s="96" t="n"/>
      <c r="W150" s="96" t="n"/>
      <c r="X150" s="96" t="n"/>
      <c r="Y150" s="96" t="n"/>
      <c r="Z150" s="96" t="n"/>
      <c r="AA150" s="96" t="n"/>
      <c r="AB150" s="96" t="n"/>
      <c r="AC150" s="96" t="n"/>
      <c r="AD150" s="96" t="n"/>
      <c r="AE150" s="96" t="n"/>
      <c r="AF150" s="96" t="n"/>
      <c r="AG150" s="96" t="n"/>
      <c r="AH150" s="96" t="n"/>
      <c r="AI150" s="96" t="n"/>
      <c r="AJ150" s="96" t="n"/>
      <c r="AK150" s="96" t="n"/>
      <c r="AL150" s="96" t="n"/>
      <c r="AM150" s="96" t="n"/>
      <c r="AN150" s="96" t="n"/>
      <c r="AO150" s="96" t="n"/>
      <c r="AP150" s="96" t="n"/>
      <c r="AQ150" s="96" t="n"/>
      <c r="AR150" s="96" t="n"/>
      <c r="AS150" s="96" t="n"/>
      <c r="AT150" s="96" t="n"/>
      <c r="AU150" s="96" t="n"/>
      <c r="AV150" s="96" t="n"/>
      <c r="AW150" s="96" t="n"/>
      <c r="AX150" s="96" t="n"/>
      <c r="AY150" s="96" t="n"/>
      <c r="AZ150" s="96" t="n"/>
      <c r="BA150" s="96" t="n"/>
      <c r="BB150" s="96" t="n"/>
    </row>
    <row r="151" ht="22" customHeight="1" s="110">
      <c r="A151" s="97" t="n"/>
      <c r="B151" s="97" t="n"/>
      <c r="C151" s="97" t="n"/>
      <c r="D151" s="97" t="n"/>
      <c r="E151" s="97" t="n"/>
      <c r="F151" s="97" t="n"/>
      <c r="G151" s="97" t="n"/>
      <c r="H151" s="97" t="n"/>
      <c r="I151" s="97" t="n"/>
      <c r="J151" s="97" t="n"/>
      <c r="L151" s="97" t="n"/>
      <c r="M151" s="97" t="n"/>
      <c r="N151" s="97" t="n"/>
      <c r="O151" s="97" t="n"/>
      <c r="Q151" s="97" t="n"/>
      <c r="R151" s="97" t="n"/>
      <c r="S151" s="97" t="n"/>
      <c r="T151" s="97" t="n"/>
      <c r="U151" s="97" t="n"/>
      <c r="V151" s="97" t="n"/>
      <c r="W151" s="97" t="n"/>
      <c r="X151" s="97" t="n"/>
      <c r="Y151" s="97" t="n"/>
      <c r="Z151" s="97" t="n"/>
      <c r="AA151" s="97" t="n"/>
      <c r="AB151" s="97" t="n"/>
      <c r="AC151" s="97" t="n"/>
      <c r="AD151" s="97" t="n"/>
      <c r="AE151" s="97" t="n"/>
      <c r="AF151" s="97" t="n"/>
      <c r="AG151" s="97" t="n"/>
      <c r="AH151" s="97" t="n"/>
      <c r="AI151" s="97" t="n"/>
      <c r="AJ151" s="97" t="n"/>
      <c r="AK151" s="97" t="n"/>
      <c r="AL151" s="97" t="n"/>
      <c r="AM151" s="97" t="n"/>
      <c r="AN151" s="97" t="n"/>
      <c r="AO151" s="97" t="n"/>
      <c r="AP151" s="97" t="n"/>
      <c r="AQ151" s="97" t="n"/>
      <c r="AR151" s="97" t="n"/>
      <c r="AS151" s="97" t="n"/>
      <c r="AT151" s="97" t="n"/>
      <c r="AU151" s="97" t="n"/>
      <c r="AV151" s="97" t="n"/>
      <c r="AW151" s="97" t="n"/>
      <c r="AX151" s="97" t="n"/>
      <c r="AY151" s="97" t="n"/>
      <c r="AZ151" s="97" t="n"/>
      <c r="BA151" s="97" t="n"/>
      <c r="BB151" s="97" t="n"/>
    </row>
    <row r="152" ht="22" customHeight="1" s="110">
      <c r="A152" s="96" t="n"/>
      <c r="B152" s="96" t="n"/>
      <c r="C152" s="96" t="n"/>
      <c r="D152" s="96" t="n"/>
      <c r="E152" s="96" t="n"/>
      <c r="F152" s="96" t="n"/>
      <c r="G152" s="96" t="n"/>
      <c r="H152" s="96" t="n"/>
      <c r="I152" s="96" t="n"/>
      <c r="J152" s="96" t="n"/>
      <c r="L152" s="96" t="n"/>
      <c r="M152" s="96" t="n"/>
      <c r="N152" s="96" t="n"/>
      <c r="O152" s="96" t="n"/>
      <c r="Q152" s="96" t="n"/>
      <c r="R152" s="96" t="n"/>
      <c r="S152" s="96" t="n"/>
      <c r="T152" s="96" t="n"/>
      <c r="U152" s="96" t="n"/>
      <c r="V152" s="96" t="n"/>
      <c r="W152" s="96" t="n"/>
      <c r="X152" s="96" t="n"/>
      <c r="Y152" s="96" t="n"/>
      <c r="Z152" s="96" t="n"/>
      <c r="AA152" s="96" t="n"/>
      <c r="AB152" s="96" t="n"/>
      <c r="AC152" s="96" t="n"/>
      <c r="AD152" s="96" t="n"/>
      <c r="AE152" s="96" t="n"/>
      <c r="AF152" s="96" t="n"/>
      <c r="AG152" s="96" t="n"/>
      <c r="AH152" s="96" t="n"/>
      <c r="AI152" s="96" t="n"/>
      <c r="AJ152" s="96" t="n"/>
      <c r="AK152" s="96" t="n"/>
      <c r="AL152" s="96" t="n"/>
      <c r="AM152" s="96" t="n"/>
      <c r="AN152" s="96" t="n"/>
      <c r="AO152" s="96" t="n"/>
      <c r="AP152" s="96" t="n"/>
      <c r="AQ152" s="96" t="n"/>
      <c r="AR152" s="96" t="n"/>
      <c r="AS152" s="96" t="n"/>
      <c r="AT152" s="96" t="n"/>
      <c r="AU152" s="96" t="n"/>
      <c r="AV152" s="96" t="n"/>
      <c r="AW152" s="96" t="n"/>
      <c r="AX152" s="96" t="n"/>
      <c r="AY152" s="96" t="n"/>
      <c r="AZ152" s="96" t="n"/>
      <c r="BA152" s="96" t="n"/>
      <c r="BB152" s="96" t="n"/>
    </row>
    <row r="153" ht="22" customHeight="1" s="110">
      <c r="A153" s="97" t="n"/>
      <c r="B153" s="97" t="n"/>
      <c r="C153" s="97" t="n"/>
      <c r="D153" s="97" t="n"/>
      <c r="E153" s="97" t="n"/>
      <c r="F153" s="97" t="n"/>
      <c r="G153" s="97" t="n"/>
      <c r="H153" s="97" t="n"/>
      <c r="I153" s="97" t="n"/>
      <c r="J153" s="97" t="n"/>
      <c r="L153" s="97" t="n"/>
      <c r="M153" s="97" t="n"/>
      <c r="N153" s="97" t="n"/>
      <c r="O153" s="97" t="n"/>
      <c r="Q153" s="97" t="n"/>
      <c r="R153" s="97" t="n"/>
      <c r="S153" s="97" t="n"/>
      <c r="T153" s="97" t="n"/>
      <c r="U153" s="97" t="n"/>
      <c r="V153" s="97" t="n"/>
      <c r="W153" s="97" t="n"/>
      <c r="X153" s="97" t="n"/>
      <c r="Y153" s="97" t="n"/>
      <c r="Z153" s="97" t="n"/>
      <c r="AA153" s="97" t="n"/>
      <c r="AB153" s="97" t="n"/>
      <c r="AC153" s="97" t="n"/>
      <c r="AD153" s="97" t="n"/>
      <c r="AE153" s="97" t="n"/>
      <c r="AF153" s="97" t="n"/>
      <c r="AG153" s="97" t="n"/>
      <c r="AH153" s="97" t="n"/>
      <c r="AI153" s="97" t="n"/>
      <c r="AJ153" s="97" t="n"/>
      <c r="AK153" s="97" t="n"/>
      <c r="AL153" s="97" t="n"/>
      <c r="AM153" s="97" t="n"/>
      <c r="AN153" s="97" t="n"/>
      <c r="AO153" s="97" t="n"/>
      <c r="AP153" s="97" t="n"/>
      <c r="AQ153" s="97" t="n"/>
      <c r="AR153" s="97" t="n"/>
      <c r="AS153" s="97" t="n"/>
      <c r="AT153" s="97" t="n"/>
      <c r="AU153" s="97" t="n"/>
      <c r="AV153" s="97" t="n"/>
      <c r="AW153" s="97" t="n"/>
      <c r="AX153" s="97" t="n"/>
      <c r="AY153" s="97" t="n"/>
      <c r="AZ153" s="97" t="n"/>
      <c r="BA153" s="97" t="n"/>
      <c r="BB153" s="97" t="n"/>
    </row>
    <row r="154" ht="22" customHeight="1" s="110">
      <c r="A154" s="96" t="n"/>
      <c r="B154" s="96" t="n"/>
      <c r="C154" s="96" t="n"/>
      <c r="D154" s="96" t="n"/>
      <c r="E154" s="96" t="n"/>
      <c r="F154" s="96" t="n"/>
      <c r="G154" s="96" t="n"/>
      <c r="H154" s="96" t="n"/>
      <c r="I154" s="96" t="n"/>
      <c r="J154" s="96" t="n"/>
      <c r="L154" s="96" t="n"/>
      <c r="M154" s="96" t="n"/>
      <c r="N154" s="96" t="n"/>
      <c r="O154" s="96" t="n"/>
      <c r="Q154" s="96" t="n"/>
      <c r="R154" s="96" t="n"/>
      <c r="S154" s="96" t="n"/>
      <c r="T154" s="96" t="n"/>
      <c r="U154" s="96" t="n"/>
      <c r="V154" s="96" t="n"/>
      <c r="W154" s="96" t="n"/>
      <c r="X154" s="96" t="n"/>
      <c r="Y154" s="96" t="n"/>
      <c r="Z154" s="96" t="n"/>
      <c r="AA154" s="96" t="n"/>
      <c r="AB154" s="96" t="n"/>
      <c r="AC154" s="96" t="n"/>
      <c r="AD154" s="96" t="n"/>
      <c r="AE154" s="96" t="n"/>
      <c r="AF154" s="96" t="n"/>
      <c r="AG154" s="96" t="n"/>
      <c r="AH154" s="96" t="n"/>
      <c r="AI154" s="96" t="n"/>
      <c r="AJ154" s="96" t="n"/>
      <c r="AK154" s="96" t="n"/>
      <c r="AL154" s="96" t="n"/>
      <c r="AM154" s="96" t="n"/>
      <c r="AN154" s="96" t="n"/>
      <c r="AO154" s="96" t="n"/>
      <c r="AP154" s="96" t="n"/>
      <c r="AQ154" s="96" t="n"/>
      <c r="AR154" s="96" t="n"/>
      <c r="AS154" s="96" t="n"/>
      <c r="AT154" s="96" t="n"/>
      <c r="AU154" s="96" t="n"/>
      <c r="AV154" s="96" t="n"/>
      <c r="AW154" s="96" t="n"/>
      <c r="AX154" s="96" t="n"/>
      <c r="AY154" s="96" t="n"/>
      <c r="AZ154" s="96" t="n"/>
      <c r="BA154" s="96" t="n"/>
      <c r="BB154" s="96" t="n"/>
    </row>
    <row r="155" ht="22" customHeight="1" s="110">
      <c r="A155" s="97" t="n"/>
      <c r="B155" s="97" t="n"/>
      <c r="C155" s="97" t="n"/>
      <c r="D155" s="97" t="n"/>
      <c r="E155" s="97" t="n"/>
      <c r="F155" s="97" t="n"/>
      <c r="G155" s="97" t="n"/>
      <c r="H155" s="97" t="n"/>
      <c r="I155" s="97" t="n"/>
      <c r="J155" s="97" t="n"/>
      <c r="L155" s="97" t="n"/>
      <c r="M155" s="97" t="n"/>
      <c r="N155" s="97" t="n"/>
      <c r="O155" s="97" t="n"/>
      <c r="Q155" s="97" t="n"/>
      <c r="R155" s="97" t="n"/>
      <c r="S155" s="97" t="n"/>
      <c r="T155" s="97" t="n"/>
      <c r="U155" s="97" t="n"/>
      <c r="V155" s="97" t="n"/>
      <c r="W155" s="97" t="n"/>
      <c r="X155" s="97" t="n"/>
      <c r="Y155" s="97" t="n"/>
      <c r="Z155" s="97" t="n"/>
      <c r="AA155" s="97" t="n"/>
      <c r="AB155" s="97" t="n"/>
      <c r="AC155" s="97" t="n"/>
      <c r="AD155" s="97" t="n"/>
      <c r="AE155" s="97" t="n"/>
      <c r="AF155" s="97" t="n"/>
      <c r="AG155" s="97" t="n"/>
      <c r="AH155" s="97" t="n"/>
      <c r="AI155" s="97" t="n"/>
      <c r="AJ155" s="97" t="n"/>
      <c r="AK155" s="97" t="n"/>
      <c r="AL155" s="97" t="n"/>
      <c r="AM155" s="97" t="n"/>
      <c r="AN155" s="97" t="n"/>
      <c r="AO155" s="97" t="n"/>
      <c r="AP155" s="97" t="n"/>
      <c r="AQ155" s="97" t="n"/>
      <c r="AR155" s="97" t="n"/>
      <c r="AS155" s="97" t="n"/>
      <c r="AT155" s="97" t="n"/>
      <c r="AU155" s="97" t="n"/>
      <c r="AV155" s="97" t="n"/>
      <c r="AW155" s="97" t="n"/>
      <c r="AX155" s="97" t="n"/>
      <c r="AY155" s="97" t="n"/>
      <c r="AZ155" s="97" t="n"/>
      <c r="BA155" s="97" t="n"/>
      <c r="BB155" s="97" t="n"/>
    </row>
    <row r="156" ht="22" customHeight="1" s="110">
      <c r="A156" s="96" t="n"/>
      <c r="B156" s="96" t="n"/>
      <c r="C156" s="96" t="n"/>
      <c r="D156" s="96" t="n"/>
      <c r="E156" s="96" t="n"/>
      <c r="F156" s="96" t="n"/>
      <c r="G156" s="96" t="n"/>
      <c r="H156" s="96" t="n"/>
      <c r="I156" s="96" t="n"/>
      <c r="J156" s="96" t="n"/>
      <c r="L156" s="96" t="n"/>
      <c r="M156" s="96" t="n"/>
      <c r="N156" s="96" t="n"/>
      <c r="O156" s="96" t="n"/>
      <c r="Q156" s="96" t="n"/>
      <c r="R156" s="96" t="n"/>
      <c r="S156" s="96" t="n"/>
      <c r="T156" s="96" t="n"/>
      <c r="U156" s="96" t="n"/>
      <c r="V156" s="96" t="n"/>
      <c r="W156" s="96" t="n"/>
      <c r="X156" s="96" t="n"/>
      <c r="Y156" s="96" t="n"/>
      <c r="Z156" s="96" t="n"/>
      <c r="AA156" s="96" t="n"/>
      <c r="AB156" s="96" t="n"/>
      <c r="AC156" s="96" t="n"/>
      <c r="AD156" s="96" t="n"/>
      <c r="AE156" s="96" t="n"/>
      <c r="AF156" s="96" t="n"/>
      <c r="AG156" s="96" t="n"/>
      <c r="AH156" s="96" t="n"/>
      <c r="AI156" s="96" t="n"/>
      <c r="AJ156" s="96" t="n"/>
      <c r="AK156" s="96" t="n"/>
      <c r="AL156" s="96" t="n"/>
      <c r="AM156" s="96" t="n"/>
      <c r="AN156" s="96" t="n"/>
      <c r="AO156" s="96" t="n"/>
      <c r="AP156" s="96" t="n"/>
      <c r="AQ156" s="96" t="n"/>
      <c r="AR156" s="96" t="n"/>
      <c r="AS156" s="96" t="n"/>
      <c r="AT156" s="96" t="n"/>
      <c r="AU156" s="96" t="n"/>
      <c r="AV156" s="96" t="n"/>
      <c r="AW156" s="96" t="n"/>
      <c r="AX156" s="96" t="n"/>
      <c r="AY156" s="96" t="n"/>
      <c r="AZ156" s="96" t="n"/>
      <c r="BA156" s="96" t="n"/>
      <c r="BB156" s="96" t="n"/>
    </row>
    <row r="157" ht="22" customHeight="1" s="110">
      <c r="A157" s="97" t="n"/>
      <c r="B157" s="97" t="n"/>
      <c r="C157" s="97" t="n"/>
      <c r="D157" s="97" t="n"/>
      <c r="E157" s="97" t="n"/>
      <c r="F157" s="97" t="n"/>
      <c r="G157" s="97" t="n"/>
      <c r="H157" s="97" t="n"/>
      <c r="I157" s="97" t="n"/>
      <c r="J157" s="97" t="n"/>
      <c r="L157" s="97" t="n"/>
      <c r="M157" s="97" t="n"/>
      <c r="N157" s="97" t="n"/>
      <c r="O157" s="97" t="n"/>
      <c r="Q157" s="97" t="n"/>
      <c r="R157" s="97" t="n"/>
      <c r="S157" s="97" t="n"/>
      <c r="T157" s="97" t="n"/>
      <c r="U157" s="97" t="n"/>
      <c r="V157" s="97" t="n"/>
      <c r="W157" s="97" t="n"/>
      <c r="X157" s="97" t="n"/>
      <c r="Y157" s="97" t="n"/>
      <c r="Z157" s="97" t="n"/>
      <c r="AA157" s="97" t="n"/>
      <c r="AB157" s="97" t="n"/>
      <c r="AC157" s="97" t="n"/>
      <c r="AD157" s="97" t="n"/>
      <c r="AE157" s="97" t="n"/>
      <c r="AF157" s="97" t="n"/>
      <c r="AG157" s="97" t="n"/>
      <c r="AH157" s="97" t="n"/>
      <c r="AI157" s="97" t="n"/>
      <c r="AJ157" s="97" t="n"/>
      <c r="AK157" s="97" t="n"/>
      <c r="AL157" s="97" t="n"/>
      <c r="AM157" s="97" t="n"/>
      <c r="AN157" s="97" t="n"/>
      <c r="AO157" s="97" t="n"/>
      <c r="AP157" s="97" t="n"/>
      <c r="AQ157" s="97" t="n"/>
      <c r="AR157" s="97" t="n"/>
      <c r="AS157" s="97" t="n"/>
      <c r="AT157" s="97" t="n"/>
      <c r="AU157" s="97" t="n"/>
      <c r="AV157" s="97" t="n"/>
      <c r="AW157" s="97" t="n"/>
      <c r="AX157" s="97" t="n"/>
      <c r="AY157" s="97" t="n"/>
      <c r="AZ157" s="97" t="n"/>
      <c r="BA157" s="97" t="n"/>
      <c r="BB157" s="97" t="n"/>
    </row>
    <row r="158" ht="22" customHeight="1" s="110">
      <c r="A158" s="96" t="n"/>
      <c r="B158" s="96" t="n"/>
      <c r="C158" s="96" t="n"/>
      <c r="D158" s="96" t="n"/>
      <c r="E158" s="96" t="n"/>
      <c r="F158" s="96" t="n"/>
      <c r="G158" s="96" t="n"/>
      <c r="H158" s="96" t="n"/>
      <c r="I158" s="96" t="n"/>
      <c r="J158" s="96" t="n"/>
      <c r="L158" s="96" t="n"/>
      <c r="M158" s="96" t="n"/>
      <c r="N158" s="96" t="n"/>
      <c r="O158" s="96" t="n"/>
      <c r="Q158" s="96" t="n"/>
      <c r="R158" s="96" t="n"/>
      <c r="S158" s="96" t="n"/>
      <c r="T158" s="96" t="n"/>
      <c r="U158" s="96" t="n"/>
      <c r="V158" s="96" t="n"/>
      <c r="W158" s="96" t="n"/>
      <c r="X158" s="96" t="n"/>
      <c r="Y158" s="96" t="n"/>
      <c r="Z158" s="96" t="n"/>
      <c r="AA158" s="96" t="n"/>
      <c r="AB158" s="96" t="n"/>
      <c r="AC158" s="96" t="n"/>
      <c r="AD158" s="96" t="n"/>
      <c r="AE158" s="96" t="n"/>
      <c r="AF158" s="96" t="n"/>
      <c r="AG158" s="96" t="n"/>
      <c r="AH158" s="96" t="n"/>
      <c r="AI158" s="96" t="n"/>
      <c r="AJ158" s="96" t="n"/>
      <c r="AK158" s="96" t="n"/>
      <c r="AL158" s="96" t="n"/>
      <c r="AM158" s="96" t="n"/>
      <c r="AN158" s="96" t="n"/>
      <c r="AO158" s="96" t="n"/>
      <c r="AP158" s="96" t="n"/>
      <c r="AQ158" s="96" t="n"/>
      <c r="AR158" s="96" t="n"/>
      <c r="AS158" s="96" t="n"/>
      <c r="AT158" s="96" t="n"/>
      <c r="AU158" s="96" t="n"/>
      <c r="AV158" s="96" t="n"/>
      <c r="AW158" s="96" t="n"/>
      <c r="AX158" s="96" t="n"/>
      <c r="AY158" s="96" t="n"/>
      <c r="AZ158" s="96" t="n"/>
      <c r="BA158" s="96" t="n"/>
      <c r="BB158" s="96" t="n"/>
    </row>
    <row r="159" ht="22" customHeight="1" s="110">
      <c r="A159" s="97" t="n"/>
      <c r="B159" s="97" t="n"/>
      <c r="C159" s="97" t="n"/>
      <c r="D159" s="97" t="n"/>
      <c r="E159" s="97" t="n"/>
      <c r="F159" s="97" t="n"/>
      <c r="G159" s="97" t="n"/>
      <c r="H159" s="97" t="n"/>
      <c r="I159" s="97" t="n"/>
      <c r="J159" s="97" t="n"/>
      <c r="L159" s="97" t="n"/>
      <c r="M159" s="97" t="n"/>
      <c r="N159" s="97" t="n"/>
      <c r="O159" s="97" t="n"/>
      <c r="Q159" s="97" t="n"/>
      <c r="R159" s="97" t="n"/>
      <c r="S159" s="97" t="n"/>
      <c r="T159" s="97" t="n"/>
      <c r="U159" s="97" t="n"/>
      <c r="V159" s="97" t="n"/>
      <c r="W159" s="97" t="n"/>
      <c r="X159" s="97" t="n"/>
      <c r="Y159" s="97" t="n"/>
      <c r="Z159" s="97" t="n"/>
      <c r="AA159" s="97" t="n"/>
      <c r="AB159" s="97" t="n"/>
      <c r="AC159" s="97" t="n"/>
      <c r="AD159" s="97" t="n"/>
      <c r="AE159" s="97" t="n"/>
      <c r="AF159" s="97" t="n"/>
      <c r="AG159" s="97" t="n"/>
      <c r="AH159" s="97" t="n"/>
      <c r="AI159" s="97" t="n"/>
      <c r="AJ159" s="97" t="n"/>
      <c r="AK159" s="97" t="n"/>
      <c r="AL159" s="97" t="n"/>
      <c r="AM159" s="97" t="n"/>
      <c r="AN159" s="97" t="n"/>
      <c r="AO159" s="97" t="n"/>
      <c r="AP159" s="97" t="n"/>
      <c r="AQ159" s="97" t="n"/>
      <c r="AR159" s="97" t="n"/>
      <c r="AS159" s="97" t="n"/>
      <c r="AT159" s="97" t="n"/>
      <c r="AU159" s="97" t="n"/>
      <c r="AV159" s="97" t="n"/>
      <c r="AW159" s="97" t="n"/>
      <c r="AX159" s="97" t="n"/>
      <c r="AY159" s="97" t="n"/>
      <c r="AZ159" s="97" t="n"/>
      <c r="BA159" s="97" t="n"/>
      <c r="BB159" s="97" t="n"/>
    </row>
    <row r="160" ht="22" customHeight="1" s="110">
      <c r="A160" s="96" t="n"/>
      <c r="B160" s="96" t="n"/>
      <c r="C160" s="96" t="n"/>
      <c r="D160" s="96" t="n"/>
      <c r="E160" s="96" t="n"/>
      <c r="F160" s="96" t="n"/>
      <c r="G160" s="96" t="n"/>
      <c r="H160" s="96" t="n"/>
      <c r="I160" s="96" t="n"/>
      <c r="J160" s="96" t="n"/>
      <c r="L160" s="96" t="n"/>
      <c r="M160" s="96" t="n"/>
      <c r="N160" s="96" t="n"/>
      <c r="O160" s="96" t="n"/>
      <c r="Q160" s="96" t="n"/>
      <c r="R160" s="96" t="n"/>
      <c r="S160" s="96" t="n"/>
      <c r="T160" s="96" t="n"/>
      <c r="U160" s="96" t="n"/>
      <c r="V160" s="96" t="n"/>
      <c r="W160" s="96" t="n"/>
      <c r="X160" s="96" t="n"/>
      <c r="Y160" s="96" t="n"/>
      <c r="Z160" s="96" t="n"/>
      <c r="AA160" s="96" t="n"/>
      <c r="AB160" s="96" t="n"/>
      <c r="AC160" s="96" t="n"/>
      <c r="AD160" s="96" t="n"/>
      <c r="AE160" s="96" t="n"/>
      <c r="AF160" s="96" t="n"/>
      <c r="AG160" s="96" t="n"/>
      <c r="AH160" s="96" t="n"/>
      <c r="AI160" s="96" t="n"/>
      <c r="AJ160" s="96" t="n"/>
      <c r="AK160" s="96" t="n"/>
      <c r="AL160" s="96" t="n"/>
      <c r="AM160" s="96" t="n"/>
      <c r="AN160" s="96" t="n"/>
      <c r="AO160" s="96" t="n"/>
      <c r="AP160" s="96" t="n"/>
      <c r="AQ160" s="96" t="n"/>
      <c r="AR160" s="96" t="n"/>
      <c r="AS160" s="96" t="n"/>
      <c r="AT160" s="96" t="n"/>
      <c r="AU160" s="96" t="n"/>
      <c r="AV160" s="96" t="n"/>
      <c r="AW160" s="96" t="n"/>
      <c r="AX160" s="96" t="n"/>
      <c r="AY160" s="96" t="n"/>
      <c r="AZ160" s="96" t="n"/>
      <c r="BA160" s="96" t="n"/>
      <c r="BB160" s="96" t="n"/>
    </row>
    <row r="161" ht="22" customHeight="1" s="110">
      <c r="A161" s="97" t="n"/>
      <c r="B161" s="97" t="n"/>
      <c r="C161" s="97" t="n"/>
      <c r="D161" s="97" t="n"/>
      <c r="E161" s="97" t="n"/>
      <c r="F161" s="97" t="n"/>
      <c r="G161" s="97" t="n"/>
      <c r="H161" s="97" t="n"/>
      <c r="I161" s="97" t="n"/>
      <c r="J161" s="97" t="n"/>
      <c r="L161" s="97" t="n"/>
      <c r="M161" s="97" t="n"/>
      <c r="N161" s="97" t="n"/>
      <c r="O161" s="97" t="n"/>
      <c r="Q161" s="97" t="n"/>
      <c r="R161" s="97" t="n"/>
      <c r="S161" s="97" t="n"/>
      <c r="T161" s="97" t="n"/>
      <c r="U161" s="97" t="n"/>
      <c r="V161" s="97" t="n"/>
      <c r="W161" s="97" t="n"/>
      <c r="X161" s="97" t="n"/>
      <c r="Y161" s="97" t="n"/>
      <c r="Z161" s="97" t="n"/>
      <c r="AA161" s="97" t="n"/>
      <c r="AB161" s="97" t="n"/>
      <c r="AC161" s="97" t="n"/>
      <c r="AD161" s="97" t="n"/>
      <c r="AE161" s="97" t="n"/>
      <c r="AF161" s="97" t="n"/>
      <c r="AG161" s="97" t="n"/>
      <c r="AH161" s="97" t="n"/>
      <c r="AI161" s="97" t="n"/>
      <c r="AJ161" s="97" t="n"/>
      <c r="AK161" s="97" t="n"/>
      <c r="AL161" s="97" t="n"/>
      <c r="AM161" s="97" t="n"/>
      <c r="AN161" s="97" t="n"/>
      <c r="AO161" s="97" t="n"/>
      <c r="AP161" s="97" t="n"/>
      <c r="AQ161" s="97" t="n"/>
      <c r="AR161" s="97" t="n"/>
      <c r="AS161" s="97" t="n"/>
      <c r="AT161" s="97" t="n"/>
      <c r="AU161" s="97" t="n"/>
      <c r="AV161" s="97" t="n"/>
      <c r="AW161" s="97" t="n"/>
      <c r="AX161" s="97" t="n"/>
      <c r="AY161" s="97" t="n"/>
      <c r="AZ161" s="97" t="n"/>
      <c r="BA161" s="97" t="n"/>
      <c r="BB161" s="97" t="n"/>
    </row>
    <row r="162" ht="22" customHeight="1" s="110">
      <c r="A162" s="96" t="n"/>
      <c r="B162" s="96" t="n"/>
      <c r="C162" s="96" t="n"/>
      <c r="D162" s="96" t="n"/>
      <c r="E162" s="96" t="n"/>
      <c r="F162" s="96" t="n"/>
      <c r="G162" s="96" t="n"/>
      <c r="H162" s="96" t="n"/>
      <c r="I162" s="96" t="n"/>
      <c r="J162" s="96" t="n"/>
      <c r="L162" s="96" t="n"/>
      <c r="M162" s="96" t="n"/>
      <c r="N162" s="96" t="n"/>
      <c r="O162" s="96" t="n"/>
      <c r="Q162" s="96" t="n"/>
      <c r="R162" s="96" t="n"/>
      <c r="S162" s="96" t="n"/>
      <c r="T162" s="96" t="n"/>
      <c r="U162" s="96" t="n"/>
      <c r="V162" s="96" t="n"/>
      <c r="W162" s="96" t="n"/>
      <c r="X162" s="96" t="n"/>
      <c r="Y162" s="96" t="n"/>
      <c r="Z162" s="96" t="n"/>
      <c r="AA162" s="96" t="n"/>
      <c r="AB162" s="96" t="n"/>
      <c r="AC162" s="96" t="n"/>
      <c r="AD162" s="96" t="n"/>
      <c r="AE162" s="96" t="n"/>
      <c r="AF162" s="96" t="n"/>
      <c r="AG162" s="96" t="n"/>
      <c r="AH162" s="96" t="n"/>
      <c r="AI162" s="96" t="n"/>
      <c r="AJ162" s="96" t="n"/>
      <c r="AK162" s="96" t="n"/>
      <c r="AL162" s="96" t="n"/>
      <c r="AM162" s="96" t="n"/>
      <c r="AN162" s="96" t="n"/>
      <c r="AO162" s="96" t="n"/>
      <c r="AP162" s="96" t="n"/>
      <c r="AQ162" s="96" t="n"/>
      <c r="AR162" s="96" t="n"/>
      <c r="AS162" s="96" t="n"/>
      <c r="AT162" s="96" t="n"/>
      <c r="AU162" s="96" t="n"/>
      <c r="AV162" s="96" t="n"/>
      <c r="AW162" s="96" t="n"/>
      <c r="AX162" s="96" t="n"/>
      <c r="AY162" s="96" t="n"/>
      <c r="AZ162" s="96" t="n"/>
      <c r="BA162" s="96" t="n"/>
      <c r="BB162" s="96" t="n"/>
    </row>
    <row r="163" ht="22" customHeight="1" s="110">
      <c r="A163" s="97" t="n"/>
      <c r="B163" s="97" t="n"/>
      <c r="C163" s="97" t="n"/>
      <c r="D163" s="97" t="n"/>
      <c r="E163" s="97" t="n"/>
      <c r="F163" s="97" t="n"/>
      <c r="G163" s="97" t="n"/>
      <c r="H163" s="97" t="n"/>
      <c r="I163" s="97" t="n"/>
      <c r="J163" s="97" t="n"/>
      <c r="L163" s="97" t="n"/>
      <c r="M163" s="97" t="n"/>
      <c r="N163" s="97" t="n"/>
      <c r="O163" s="97" t="n"/>
      <c r="Q163" s="97" t="n"/>
      <c r="R163" s="97" t="n"/>
      <c r="S163" s="97" t="n"/>
      <c r="T163" s="97" t="n"/>
      <c r="U163" s="97" t="n"/>
      <c r="V163" s="97" t="n"/>
      <c r="W163" s="97" t="n"/>
      <c r="X163" s="97" t="n"/>
      <c r="Y163" s="97" t="n"/>
      <c r="Z163" s="97" t="n"/>
      <c r="AA163" s="97" t="n"/>
      <c r="AB163" s="97" t="n"/>
      <c r="AC163" s="97" t="n"/>
      <c r="AD163" s="97" t="n"/>
      <c r="AE163" s="97" t="n"/>
      <c r="AF163" s="97" t="n"/>
      <c r="AG163" s="97" t="n"/>
      <c r="AH163" s="97" t="n"/>
      <c r="AI163" s="97" t="n"/>
      <c r="AJ163" s="97" t="n"/>
      <c r="AK163" s="97" t="n"/>
      <c r="AL163" s="97" t="n"/>
      <c r="AM163" s="97" t="n"/>
      <c r="AN163" s="97" t="n"/>
      <c r="AO163" s="97" t="n"/>
      <c r="AP163" s="97" t="n"/>
      <c r="AQ163" s="97" t="n"/>
      <c r="AR163" s="97" t="n"/>
      <c r="AS163" s="97" t="n"/>
      <c r="AT163" s="97" t="n"/>
      <c r="AU163" s="97" t="n"/>
      <c r="AV163" s="97" t="n"/>
      <c r="AW163" s="97" t="n"/>
      <c r="AX163" s="97" t="n"/>
      <c r="AY163" s="97" t="n"/>
      <c r="AZ163" s="97" t="n"/>
      <c r="BA163" s="97" t="n"/>
      <c r="BB163" s="97" t="n"/>
    </row>
    <row r="164" ht="22" customHeight="1" s="110">
      <c r="A164" s="96" t="n"/>
      <c r="B164" s="96" t="n"/>
      <c r="C164" s="96" t="n"/>
      <c r="D164" s="96" t="n"/>
      <c r="E164" s="96" t="n"/>
      <c r="F164" s="96" t="n"/>
      <c r="G164" s="96" t="n"/>
      <c r="H164" s="96" t="n"/>
      <c r="I164" s="96" t="n"/>
      <c r="J164" s="96" t="n"/>
      <c r="L164" s="96" t="n"/>
      <c r="M164" s="96" t="n"/>
      <c r="N164" s="96" t="n"/>
      <c r="O164" s="96" t="n"/>
      <c r="Q164" s="96" t="n"/>
      <c r="R164" s="96" t="n"/>
      <c r="S164" s="96" t="n"/>
      <c r="T164" s="96" t="n"/>
      <c r="U164" s="96" t="n"/>
      <c r="V164" s="96" t="n"/>
      <c r="W164" s="96" t="n"/>
      <c r="X164" s="96" t="n"/>
      <c r="Y164" s="96" t="n"/>
      <c r="Z164" s="96" t="n"/>
      <c r="AA164" s="96" t="n"/>
      <c r="AB164" s="96" t="n"/>
      <c r="AC164" s="96" t="n"/>
      <c r="AD164" s="96" t="n"/>
      <c r="AE164" s="96" t="n"/>
      <c r="AF164" s="96" t="n"/>
      <c r="AG164" s="96" t="n"/>
      <c r="AH164" s="96" t="n"/>
      <c r="AI164" s="96" t="n"/>
      <c r="AJ164" s="96" t="n"/>
      <c r="AK164" s="96" t="n"/>
      <c r="AL164" s="96" t="n"/>
      <c r="AM164" s="96" t="n"/>
      <c r="AN164" s="96" t="n"/>
      <c r="AO164" s="96" t="n"/>
      <c r="AP164" s="96" t="n"/>
      <c r="AQ164" s="96" t="n"/>
      <c r="AR164" s="96" t="n"/>
      <c r="AS164" s="96" t="n"/>
      <c r="AT164" s="96" t="n"/>
      <c r="AU164" s="96" t="n"/>
      <c r="AV164" s="96" t="n"/>
      <c r="AW164" s="96" t="n"/>
      <c r="AX164" s="96" t="n"/>
      <c r="AY164" s="96" t="n"/>
      <c r="AZ164" s="96" t="n"/>
      <c r="BA164" s="96" t="n"/>
      <c r="BB164" s="96" t="n"/>
    </row>
    <row r="165" ht="22" customHeight="1" s="110">
      <c r="A165" s="97" t="n"/>
      <c r="B165" s="97" t="n"/>
      <c r="C165" s="97" t="n"/>
      <c r="D165" s="97" t="n"/>
      <c r="E165" s="97" t="n"/>
      <c r="F165" s="97" t="n"/>
      <c r="G165" s="97" t="n"/>
      <c r="H165" s="97" t="n"/>
      <c r="I165" s="97" t="n"/>
      <c r="J165" s="97" t="n"/>
      <c r="L165" s="97" t="n"/>
      <c r="M165" s="97" t="n"/>
      <c r="N165" s="97" t="n"/>
      <c r="O165" s="97" t="n"/>
      <c r="Q165" s="97" t="n"/>
      <c r="R165" s="97" t="n"/>
      <c r="S165" s="97" t="n"/>
      <c r="T165" s="97" t="n"/>
      <c r="U165" s="97" t="n"/>
      <c r="V165" s="97" t="n"/>
      <c r="W165" s="97" t="n"/>
      <c r="X165" s="97" t="n"/>
      <c r="Y165" s="97" t="n"/>
      <c r="Z165" s="97" t="n"/>
      <c r="AA165" s="97" t="n"/>
      <c r="AB165" s="97" t="n"/>
      <c r="AC165" s="97" t="n"/>
      <c r="AD165" s="97" t="n"/>
      <c r="AE165" s="97" t="n"/>
      <c r="AF165" s="97" t="n"/>
      <c r="AG165" s="97" t="n"/>
      <c r="AH165" s="97" t="n"/>
      <c r="AI165" s="97" t="n"/>
      <c r="AJ165" s="97" t="n"/>
      <c r="AK165" s="97" t="n"/>
      <c r="AL165" s="97" t="n"/>
      <c r="AM165" s="97" t="n"/>
      <c r="AN165" s="97" t="n"/>
      <c r="AO165" s="97" t="n"/>
      <c r="AP165" s="97" t="n"/>
      <c r="AQ165" s="97" t="n"/>
      <c r="AR165" s="97" t="n"/>
      <c r="AS165" s="97" t="n"/>
      <c r="AT165" s="97" t="n"/>
      <c r="AU165" s="97" t="n"/>
      <c r="AV165" s="97" t="n"/>
      <c r="AW165" s="97" t="n"/>
      <c r="AX165" s="97" t="n"/>
      <c r="AY165" s="97" t="n"/>
      <c r="AZ165" s="97" t="n"/>
      <c r="BA165" s="97" t="n"/>
      <c r="BB165" s="97" t="n"/>
    </row>
    <row r="166" ht="22" customHeight="1" s="110">
      <c r="A166" s="96" t="n"/>
      <c r="B166" s="96" t="n"/>
      <c r="C166" s="96" t="n"/>
      <c r="D166" s="96" t="n"/>
      <c r="E166" s="96" t="n"/>
      <c r="F166" s="96" t="n"/>
      <c r="G166" s="96" t="n"/>
      <c r="H166" s="96" t="n"/>
      <c r="I166" s="96" t="n"/>
      <c r="J166" s="96" t="n"/>
      <c r="L166" s="96" t="n"/>
      <c r="M166" s="96" t="n"/>
      <c r="N166" s="96" t="n"/>
      <c r="O166" s="96" t="n"/>
      <c r="Q166" s="96" t="n"/>
      <c r="R166" s="96" t="n"/>
      <c r="S166" s="96" t="n"/>
      <c r="T166" s="96" t="n"/>
      <c r="U166" s="96" t="n"/>
      <c r="V166" s="96" t="n"/>
      <c r="W166" s="96" t="n"/>
      <c r="X166" s="96" t="n"/>
      <c r="Y166" s="96" t="n"/>
      <c r="Z166" s="96" t="n"/>
      <c r="AA166" s="96" t="n"/>
      <c r="AB166" s="96" t="n"/>
      <c r="AC166" s="96" t="n"/>
      <c r="AD166" s="96" t="n"/>
      <c r="AE166" s="96" t="n"/>
      <c r="AF166" s="96" t="n"/>
      <c r="AG166" s="96" t="n"/>
      <c r="AH166" s="96" t="n"/>
      <c r="AI166" s="96" t="n"/>
      <c r="AJ166" s="96" t="n"/>
      <c r="AK166" s="96" t="n"/>
      <c r="AL166" s="96" t="n"/>
      <c r="AM166" s="96" t="n"/>
      <c r="AN166" s="96" t="n"/>
      <c r="AO166" s="96" t="n"/>
      <c r="AP166" s="96" t="n"/>
      <c r="AQ166" s="96" t="n"/>
      <c r="AR166" s="96" t="n"/>
      <c r="AS166" s="96" t="n"/>
      <c r="AT166" s="96" t="n"/>
      <c r="AU166" s="96" t="n"/>
      <c r="AV166" s="96" t="n"/>
      <c r="AW166" s="96" t="n"/>
      <c r="AX166" s="96" t="n"/>
      <c r="AY166" s="96" t="n"/>
      <c r="AZ166" s="96" t="n"/>
      <c r="BA166" s="96" t="n"/>
      <c r="BB166" s="96" t="n"/>
    </row>
    <row r="167" ht="22" customHeight="1" s="110">
      <c r="A167" s="97" t="n"/>
      <c r="B167" s="97" t="n"/>
      <c r="C167" s="97" t="n"/>
      <c r="D167" s="97" t="n"/>
      <c r="E167" s="97" t="n"/>
      <c r="F167" s="97" t="n"/>
      <c r="G167" s="97" t="n"/>
      <c r="H167" s="97" t="n"/>
      <c r="I167" s="97" t="n"/>
      <c r="J167" s="97" t="n"/>
      <c r="L167" s="97" t="n"/>
      <c r="M167" s="97" t="n"/>
      <c r="N167" s="97" t="n"/>
      <c r="O167" s="97" t="n"/>
      <c r="Q167" s="97" t="n"/>
      <c r="R167" s="97" t="n"/>
      <c r="S167" s="97" t="n"/>
      <c r="T167" s="97" t="n"/>
      <c r="U167" s="97" t="n"/>
      <c r="V167" s="97" t="n"/>
      <c r="W167" s="97" t="n"/>
      <c r="X167" s="97" t="n"/>
      <c r="Y167" s="97" t="n"/>
      <c r="Z167" s="97" t="n"/>
      <c r="AA167" s="97" t="n"/>
      <c r="AB167" s="97" t="n"/>
      <c r="AC167" s="97" t="n"/>
      <c r="AD167" s="97" t="n"/>
      <c r="AE167" s="97" t="n"/>
      <c r="AF167" s="97" t="n"/>
      <c r="AG167" s="97" t="n"/>
      <c r="AH167" s="97" t="n"/>
      <c r="AI167" s="97" t="n"/>
      <c r="AJ167" s="97" t="n"/>
      <c r="AK167" s="97" t="n"/>
      <c r="AL167" s="97" t="n"/>
      <c r="AM167" s="97" t="n"/>
      <c r="AN167" s="97" t="n"/>
      <c r="AO167" s="97" t="n"/>
      <c r="AP167" s="97" t="n"/>
      <c r="AQ167" s="97" t="n"/>
      <c r="AR167" s="97" t="n"/>
      <c r="AS167" s="97" t="n"/>
      <c r="AT167" s="97" t="n"/>
      <c r="AU167" s="97" t="n"/>
      <c r="AV167" s="97" t="n"/>
      <c r="AW167" s="97" t="n"/>
      <c r="AX167" s="97" t="n"/>
      <c r="AY167" s="97" t="n"/>
      <c r="AZ167" s="97" t="n"/>
      <c r="BA167" s="97" t="n"/>
      <c r="BB167" s="97" t="n"/>
    </row>
    <row r="168" ht="22" customHeight="1" s="110">
      <c r="A168" s="96" t="n"/>
      <c r="B168" s="96" t="n"/>
      <c r="C168" s="96" t="n"/>
      <c r="D168" s="96" t="n"/>
      <c r="E168" s="96" t="n"/>
      <c r="F168" s="96" t="n"/>
      <c r="G168" s="96" t="n"/>
      <c r="H168" s="96" t="n"/>
      <c r="I168" s="96" t="n"/>
      <c r="J168" s="96" t="n"/>
      <c r="L168" s="96" t="n"/>
      <c r="M168" s="96" t="n"/>
      <c r="N168" s="96" t="n"/>
      <c r="O168" s="96" t="n"/>
      <c r="Q168" s="96" t="n"/>
      <c r="R168" s="96" t="n"/>
      <c r="S168" s="96" t="n"/>
      <c r="T168" s="96" t="n"/>
      <c r="U168" s="96" t="n"/>
      <c r="V168" s="96" t="n"/>
      <c r="W168" s="96" t="n"/>
      <c r="X168" s="96" t="n"/>
      <c r="Y168" s="96" t="n"/>
      <c r="Z168" s="96" t="n"/>
      <c r="AA168" s="96" t="n"/>
      <c r="AB168" s="96" t="n"/>
      <c r="AC168" s="96" t="n"/>
      <c r="AD168" s="96" t="n"/>
      <c r="AE168" s="96" t="n"/>
      <c r="AF168" s="96" t="n"/>
      <c r="AG168" s="96" t="n"/>
      <c r="AH168" s="96" t="n"/>
      <c r="AI168" s="96" t="n"/>
      <c r="AJ168" s="96" t="n"/>
      <c r="AK168" s="96" t="n"/>
      <c r="AL168" s="96" t="n"/>
      <c r="AM168" s="96" t="n"/>
      <c r="AN168" s="96" t="n"/>
      <c r="AO168" s="96" t="n"/>
      <c r="AP168" s="96" t="n"/>
      <c r="AQ168" s="96" t="n"/>
      <c r="AR168" s="96" t="n"/>
      <c r="AS168" s="96" t="n"/>
      <c r="AT168" s="96" t="n"/>
      <c r="AU168" s="96" t="n"/>
      <c r="AV168" s="96" t="n"/>
      <c r="AW168" s="96" t="n"/>
      <c r="AX168" s="96" t="n"/>
      <c r="AY168" s="96" t="n"/>
      <c r="AZ168" s="96" t="n"/>
      <c r="BA168" s="96" t="n"/>
      <c r="BB168" s="96" t="n"/>
    </row>
    <row r="169" ht="22" customHeight="1" s="110">
      <c r="A169" s="97" t="n"/>
      <c r="B169" s="97" t="n"/>
      <c r="C169" s="97" t="n"/>
      <c r="D169" s="97" t="n"/>
      <c r="E169" s="97" t="n"/>
      <c r="F169" s="97" t="n"/>
      <c r="G169" s="97" t="n"/>
      <c r="H169" s="97" t="n"/>
      <c r="I169" s="97" t="n"/>
      <c r="J169" s="97" t="n"/>
      <c r="L169" s="97" t="n"/>
      <c r="M169" s="97" t="n"/>
      <c r="N169" s="97" t="n"/>
      <c r="O169" s="97" t="n"/>
      <c r="Q169" s="97" t="n"/>
      <c r="R169" s="97" t="n"/>
      <c r="S169" s="97" t="n"/>
      <c r="T169" s="97" t="n"/>
      <c r="U169" s="97" t="n"/>
      <c r="V169" s="97" t="n"/>
      <c r="W169" s="97" t="n"/>
      <c r="X169" s="97" t="n"/>
      <c r="Y169" s="97" t="n"/>
      <c r="Z169" s="97" t="n"/>
      <c r="AA169" s="97" t="n"/>
      <c r="AB169" s="97" t="n"/>
      <c r="AC169" s="97" t="n"/>
      <c r="AD169" s="97" t="n"/>
      <c r="AE169" s="97" t="n"/>
      <c r="AF169" s="97" t="n"/>
      <c r="AG169" s="97" t="n"/>
      <c r="AH169" s="97" t="n"/>
      <c r="AI169" s="97" t="n"/>
      <c r="AJ169" s="97" t="n"/>
      <c r="AK169" s="97" t="n"/>
      <c r="AL169" s="97" t="n"/>
      <c r="AM169" s="97" t="n"/>
      <c r="AN169" s="97" t="n"/>
      <c r="AO169" s="97" t="n"/>
      <c r="AP169" s="97" t="n"/>
      <c r="AQ169" s="97" t="n"/>
      <c r="AR169" s="97" t="n"/>
      <c r="AS169" s="97" t="n"/>
      <c r="AT169" s="97" t="n"/>
      <c r="AU169" s="97" t="n"/>
      <c r="AV169" s="97" t="n"/>
      <c r="AW169" s="97" t="n"/>
      <c r="AX169" s="97" t="n"/>
      <c r="AY169" s="97" t="n"/>
      <c r="AZ169" s="97" t="n"/>
      <c r="BA169" s="97" t="n"/>
      <c r="BB169" s="97" t="n"/>
    </row>
    <row r="170" ht="22" customHeight="1" s="110">
      <c r="A170" s="96" t="n"/>
      <c r="B170" s="96" t="n"/>
      <c r="C170" s="96" t="n"/>
      <c r="D170" s="96" t="n"/>
      <c r="E170" s="96" t="n"/>
      <c r="F170" s="96" t="n"/>
      <c r="G170" s="96" t="n"/>
      <c r="H170" s="96" t="n"/>
      <c r="I170" s="96" t="n"/>
      <c r="J170" s="96" t="n"/>
      <c r="L170" s="96" t="n"/>
      <c r="M170" s="96" t="n"/>
      <c r="N170" s="96" t="n"/>
      <c r="O170" s="96" t="n"/>
      <c r="Q170" s="96" t="n"/>
      <c r="R170" s="96" t="n"/>
      <c r="S170" s="96" t="n"/>
      <c r="T170" s="96" t="n"/>
      <c r="U170" s="96" t="n"/>
      <c r="V170" s="96" t="n"/>
      <c r="W170" s="96" t="n"/>
      <c r="X170" s="96" t="n"/>
      <c r="Y170" s="96" t="n"/>
      <c r="Z170" s="96" t="n"/>
      <c r="AA170" s="96" t="n"/>
      <c r="AB170" s="96" t="n"/>
      <c r="AC170" s="96" t="n"/>
      <c r="AD170" s="96" t="n"/>
      <c r="AE170" s="96" t="n"/>
      <c r="AF170" s="96" t="n"/>
      <c r="AG170" s="96" t="n"/>
      <c r="AH170" s="96" t="n"/>
      <c r="AI170" s="96" t="n"/>
      <c r="AJ170" s="96" t="n"/>
      <c r="AK170" s="96" t="n"/>
      <c r="AL170" s="96" t="n"/>
      <c r="AM170" s="96" t="n"/>
      <c r="AN170" s="96" t="n"/>
      <c r="AO170" s="96" t="n"/>
      <c r="AP170" s="96" t="n"/>
      <c r="AQ170" s="96" t="n"/>
      <c r="AR170" s="96" t="n"/>
      <c r="AS170" s="96" t="n"/>
      <c r="AT170" s="96" t="n"/>
      <c r="AU170" s="96" t="n"/>
      <c r="AV170" s="96" t="n"/>
      <c r="AW170" s="96" t="n"/>
      <c r="AX170" s="96" t="n"/>
      <c r="AY170" s="96" t="n"/>
      <c r="AZ170" s="96" t="n"/>
      <c r="BA170" s="96" t="n"/>
      <c r="BB170" s="96" t="n"/>
    </row>
    <row r="171" ht="22" customHeight="1" s="110">
      <c r="A171" s="97" t="n"/>
      <c r="B171" s="97" t="n"/>
      <c r="C171" s="97" t="n"/>
      <c r="D171" s="97" t="n"/>
      <c r="E171" s="97" t="n"/>
      <c r="F171" s="97" t="n"/>
      <c r="G171" s="97" t="n"/>
      <c r="H171" s="97" t="n"/>
      <c r="I171" s="97" t="n"/>
      <c r="J171" s="97" t="n"/>
      <c r="L171" s="97" t="n"/>
      <c r="M171" s="97" t="n"/>
      <c r="N171" s="97" t="n"/>
      <c r="O171" s="97" t="n"/>
      <c r="Q171" s="97" t="n"/>
      <c r="R171" s="97" t="n"/>
      <c r="S171" s="97" t="n"/>
      <c r="T171" s="97" t="n"/>
      <c r="U171" s="97" t="n"/>
      <c r="V171" s="97" t="n"/>
      <c r="W171" s="97" t="n"/>
      <c r="X171" s="97" t="n"/>
      <c r="Y171" s="97" t="n"/>
      <c r="Z171" s="97" t="n"/>
      <c r="AA171" s="97" t="n"/>
      <c r="AB171" s="97" t="n"/>
      <c r="AC171" s="97" t="n"/>
      <c r="AD171" s="97" t="n"/>
      <c r="AE171" s="97" t="n"/>
      <c r="AF171" s="97" t="n"/>
      <c r="AG171" s="97" t="n"/>
      <c r="AH171" s="97" t="n"/>
      <c r="AI171" s="97" t="n"/>
      <c r="AJ171" s="97" t="n"/>
      <c r="AK171" s="97" t="n"/>
      <c r="AL171" s="97" t="n"/>
      <c r="AM171" s="97" t="n"/>
      <c r="AN171" s="97" t="n"/>
      <c r="AO171" s="97" t="n"/>
      <c r="AP171" s="97" t="n"/>
      <c r="AQ171" s="97" t="n"/>
      <c r="AR171" s="97" t="n"/>
      <c r="AS171" s="97" t="n"/>
      <c r="AT171" s="97" t="n"/>
      <c r="AU171" s="97" t="n"/>
      <c r="AV171" s="97" t="n"/>
      <c r="AW171" s="97" t="n"/>
      <c r="AX171" s="97" t="n"/>
      <c r="AY171" s="97" t="n"/>
      <c r="AZ171" s="97" t="n"/>
      <c r="BA171" s="97" t="n"/>
      <c r="BB171" s="97" t="n"/>
    </row>
    <row r="172" ht="22" customHeight="1" s="110">
      <c r="A172" s="96" t="n"/>
      <c r="B172" s="96" t="n"/>
      <c r="C172" s="96" t="n"/>
      <c r="D172" s="96" t="n"/>
      <c r="E172" s="96" t="n"/>
      <c r="F172" s="96" t="n"/>
      <c r="G172" s="96" t="n"/>
      <c r="H172" s="96" t="n"/>
      <c r="I172" s="96" t="n"/>
      <c r="J172" s="96" t="n"/>
      <c r="L172" s="96" t="n"/>
      <c r="M172" s="96" t="n"/>
      <c r="N172" s="96" t="n"/>
      <c r="O172" s="96" t="n"/>
      <c r="Q172" s="96" t="n"/>
      <c r="R172" s="96" t="n"/>
      <c r="S172" s="96" t="n"/>
      <c r="T172" s="96" t="n"/>
      <c r="U172" s="96" t="n"/>
      <c r="V172" s="96" t="n"/>
      <c r="W172" s="96" t="n"/>
      <c r="X172" s="96" t="n"/>
      <c r="Y172" s="96" t="n"/>
      <c r="Z172" s="96" t="n"/>
      <c r="AA172" s="96" t="n"/>
      <c r="AB172" s="96" t="n"/>
      <c r="AC172" s="96" t="n"/>
      <c r="AD172" s="96" t="n"/>
      <c r="AE172" s="96" t="n"/>
      <c r="AF172" s="96" t="n"/>
      <c r="AG172" s="96" t="n"/>
      <c r="AH172" s="96" t="n"/>
      <c r="AI172" s="96" t="n"/>
      <c r="AJ172" s="96" t="n"/>
      <c r="AK172" s="96" t="n"/>
      <c r="AL172" s="96" t="n"/>
      <c r="AM172" s="96" t="n"/>
      <c r="AN172" s="96" t="n"/>
      <c r="AO172" s="96" t="n"/>
      <c r="AP172" s="96" t="n"/>
      <c r="AQ172" s="96" t="n"/>
      <c r="AR172" s="96" t="n"/>
      <c r="AS172" s="96" t="n"/>
      <c r="AT172" s="96" t="n"/>
      <c r="AU172" s="96" t="n"/>
      <c r="AV172" s="96" t="n"/>
      <c r="AW172" s="96" t="n"/>
      <c r="AX172" s="96" t="n"/>
      <c r="AY172" s="96" t="n"/>
      <c r="AZ172" s="96" t="n"/>
      <c r="BA172" s="96" t="n"/>
      <c r="BB172" s="96" t="n"/>
    </row>
    <row r="173" ht="22" customHeight="1" s="110">
      <c r="A173" s="97" t="n"/>
      <c r="B173" s="97" t="n"/>
      <c r="C173" s="97" t="n"/>
      <c r="D173" s="97" t="n"/>
      <c r="E173" s="97" t="n"/>
      <c r="F173" s="97" t="n"/>
      <c r="G173" s="97" t="n"/>
      <c r="H173" s="97" t="n"/>
      <c r="I173" s="97" t="n"/>
      <c r="J173" s="97" t="n"/>
      <c r="L173" s="97" t="n"/>
      <c r="M173" s="97" t="n"/>
      <c r="N173" s="97" t="n"/>
      <c r="O173" s="97" t="n"/>
      <c r="Q173" s="97" t="n"/>
      <c r="R173" s="97" t="n"/>
      <c r="S173" s="97" t="n"/>
      <c r="T173" s="97" t="n"/>
      <c r="U173" s="97" t="n"/>
      <c r="V173" s="97" t="n"/>
      <c r="W173" s="97" t="n"/>
      <c r="X173" s="97" t="n"/>
      <c r="Y173" s="97" t="n"/>
      <c r="Z173" s="97" t="n"/>
      <c r="AA173" s="97" t="n"/>
      <c r="AB173" s="97" t="n"/>
      <c r="AC173" s="97" t="n"/>
      <c r="AD173" s="97" t="n"/>
      <c r="AE173" s="97" t="n"/>
      <c r="AF173" s="97" t="n"/>
      <c r="AG173" s="97" t="n"/>
      <c r="AH173" s="97" t="n"/>
      <c r="AI173" s="97" t="n"/>
      <c r="AJ173" s="97" t="n"/>
      <c r="AK173" s="97" t="n"/>
      <c r="AL173" s="97" t="n"/>
      <c r="AM173" s="97" t="n"/>
      <c r="AN173" s="97" t="n"/>
      <c r="AO173" s="97" t="n"/>
      <c r="AP173" s="97" t="n"/>
      <c r="AQ173" s="97" t="n"/>
      <c r="AR173" s="97" t="n"/>
      <c r="AS173" s="97" t="n"/>
      <c r="AT173" s="97" t="n"/>
      <c r="AU173" s="97" t="n"/>
      <c r="AV173" s="97" t="n"/>
      <c r="AW173" s="97" t="n"/>
      <c r="AX173" s="97" t="n"/>
      <c r="AY173" s="97" t="n"/>
      <c r="AZ173" s="97" t="n"/>
      <c r="BA173" s="97" t="n"/>
      <c r="BB173" s="97" t="n"/>
    </row>
    <row r="174" ht="22" customHeight="1" s="110">
      <c r="A174" s="96" t="n"/>
      <c r="B174" s="96" t="n"/>
      <c r="C174" s="96" t="n"/>
      <c r="D174" s="96" t="n"/>
      <c r="E174" s="96" t="n"/>
      <c r="F174" s="96" t="n"/>
      <c r="G174" s="96" t="n"/>
      <c r="H174" s="96" t="n"/>
      <c r="I174" s="96" t="n"/>
      <c r="J174" s="96" t="n"/>
      <c r="L174" s="96" t="n"/>
      <c r="M174" s="96" t="n"/>
      <c r="N174" s="96" t="n"/>
      <c r="O174" s="96" t="n"/>
      <c r="Q174" s="96" t="n"/>
      <c r="R174" s="96" t="n"/>
      <c r="S174" s="96" t="n"/>
      <c r="T174" s="96" t="n"/>
      <c r="U174" s="96" t="n"/>
      <c r="V174" s="96" t="n"/>
      <c r="W174" s="96" t="n"/>
      <c r="X174" s="96" t="n"/>
      <c r="Y174" s="96" t="n"/>
      <c r="Z174" s="96" t="n"/>
      <c r="AA174" s="96" t="n"/>
      <c r="AB174" s="96" t="n"/>
      <c r="AC174" s="96" t="n"/>
      <c r="AD174" s="96" t="n"/>
      <c r="AE174" s="96" t="n"/>
      <c r="AF174" s="96" t="n"/>
      <c r="AG174" s="96" t="n"/>
      <c r="AH174" s="96" t="n"/>
      <c r="AI174" s="96" t="n"/>
      <c r="AJ174" s="96" t="n"/>
      <c r="AK174" s="96" t="n"/>
      <c r="AL174" s="96" t="n"/>
      <c r="AM174" s="96" t="n"/>
      <c r="AN174" s="96" t="n"/>
      <c r="AO174" s="96" t="n"/>
      <c r="AP174" s="96" t="n"/>
      <c r="AQ174" s="96" t="n"/>
      <c r="AR174" s="96" t="n"/>
      <c r="AS174" s="96" t="n"/>
      <c r="AT174" s="96" t="n"/>
      <c r="AU174" s="96" t="n"/>
      <c r="AV174" s="96" t="n"/>
      <c r="AW174" s="96" t="n"/>
      <c r="AX174" s="96" t="n"/>
      <c r="AY174" s="96" t="n"/>
      <c r="AZ174" s="96" t="n"/>
      <c r="BA174" s="96" t="n"/>
      <c r="BB174" s="96" t="n"/>
    </row>
    <row r="175" ht="22" customHeight="1" s="110">
      <c r="A175" s="97" t="n"/>
      <c r="B175" s="97" t="n"/>
      <c r="C175" s="97" t="n"/>
      <c r="D175" s="97" t="n"/>
      <c r="E175" s="97" t="n"/>
      <c r="F175" s="97" t="n"/>
      <c r="G175" s="97" t="n"/>
      <c r="H175" s="97" t="n"/>
      <c r="I175" s="97" t="n"/>
      <c r="J175" s="97" t="n"/>
      <c r="L175" s="97" t="n"/>
      <c r="M175" s="97" t="n"/>
      <c r="N175" s="97" t="n"/>
      <c r="O175" s="97" t="n"/>
      <c r="Q175" s="97" t="n"/>
      <c r="R175" s="97" t="n"/>
      <c r="S175" s="97" t="n"/>
      <c r="T175" s="97" t="n"/>
      <c r="U175" s="97" t="n"/>
      <c r="V175" s="97" t="n"/>
      <c r="W175" s="97" t="n"/>
      <c r="X175" s="97" t="n"/>
      <c r="Y175" s="97" t="n"/>
      <c r="Z175" s="97" t="n"/>
      <c r="AA175" s="97" t="n"/>
      <c r="AB175" s="97" t="n"/>
      <c r="AC175" s="97" t="n"/>
      <c r="AD175" s="97" t="n"/>
      <c r="AE175" s="97" t="n"/>
      <c r="AF175" s="97" t="n"/>
      <c r="AG175" s="97" t="n"/>
      <c r="AH175" s="97" t="n"/>
      <c r="AI175" s="97" t="n"/>
      <c r="AJ175" s="97" t="n"/>
      <c r="AK175" s="97" t="n"/>
      <c r="AL175" s="97" t="n"/>
      <c r="AM175" s="97" t="n"/>
      <c r="AN175" s="97" t="n"/>
      <c r="AO175" s="97" t="n"/>
      <c r="AP175" s="97" t="n"/>
      <c r="AQ175" s="97" t="n"/>
      <c r="AR175" s="97" t="n"/>
      <c r="AS175" s="97" t="n"/>
      <c r="AT175" s="97" t="n"/>
      <c r="AU175" s="97" t="n"/>
      <c r="AV175" s="97" t="n"/>
      <c r="AW175" s="97" t="n"/>
      <c r="AX175" s="97" t="n"/>
      <c r="AY175" s="97" t="n"/>
      <c r="AZ175" s="97" t="n"/>
      <c r="BA175" s="97" t="n"/>
      <c r="BB175" s="97" t="n"/>
    </row>
    <row r="176" ht="22" customHeight="1" s="110">
      <c r="A176" s="96" t="n"/>
      <c r="B176" s="96" t="n"/>
      <c r="C176" s="96" t="n"/>
      <c r="D176" s="96" t="n"/>
      <c r="E176" s="96" t="n"/>
      <c r="F176" s="96" t="n"/>
      <c r="G176" s="96" t="n"/>
      <c r="H176" s="96" t="n"/>
      <c r="I176" s="96" t="n"/>
      <c r="J176" s="96" t="n"/>
      <c r="L176" s="96" t="n"/>
      <c r="M176" s="96" t="n"/>
      <c r="N176" s="96" t="n"/>
      <c r="O176" s="96" t="n"/>
      <c r="Q176" s="96" t="n"/>
      <c r="R176" s="96" t="n"/>
      <c r="S176" s="96" t="n"/>
      <c r="T176" s="96" t="n"/>
      <c r="U176" s="96" t="n"/>
      <c r="V176" s="96" t="n"/>
      <c r="W176" s="96" t="n"/>
      <c r="X176" s="96" t="n"/>
      <c r="Y176" s="96" t="n"/>
      <c r="Z176" s="96" t="n"/>
      <c r="AA176" s="96" t="n"/>
      <c r="AB176" s="96" t="n"/>
      <c r="AC176" s="96" t="n"/>
      <c r="AD176" s="96" t="n"/>
      <c r="AE176" s="96" t="n"/>
      <c r="AF176" s="96" t="n"/>
      <c r="AG176" s="96" t="n"/>
      <c r="AH176" s="96" t="n"/>
      <c r="AI176" s="96" t="n"/>
      <c r="AJ176" s="96" t="n"/>
      <c r="AK176" s="96" t="n"/>
      <c r="AL176" s="96" t="n"/>
      <c r="AM176" s="96" t="n"/>
      <c r="AN176" s="96" t="n"/>
      <c r="AO176" s="96" t="n"/>
      <c r="AP176" s="96" t="n"/>
      <c r="AQ176" s="96" t="n"/>
      <c r="AR176" s="96" t="n"/>
      <c r="AS176" s="96" t="n"/>
      <c r="AT176" s="96" t="n"/>
      <c r="AU176" s="96" t="n"/>
      <c r="AV176" s="96" t="n"/>
      <c r="AW176" s="96" t="n"/>
      <c r="AX176" s="96" t="n"/>
      <c r="AY176" s="96" t="n"/>
      <c r="AZ176" s="96" t="n"/>
      <c r="BA176" s="96" t="n"/>
      <c r="BB176" s="96" t="n"/>
    </row>
    <row r="177" ht="22" customHeight="1" s="110">
      <c r="A177" s="97" t="n"/>
      <c r="B177" s="97" t="n"/>
      <c r="C177" s="97" t="n"/>
      <c r="D177" s="97" t="n"/>
      <c r="E177" s="97" t="n"/>
      <c r="F177" s="97" t="n"/>
      <c r="G177" s="97" t="n"/>
      <c r="H177" s="97" t="n"/>
      <c r="I177" s="97" t="n"/>
      <c r="J177" s="97" t="n"/>
      <c r="L177" s="97" t="n"/>
      <c r="M177" s="97" t="n"/>
      <c r="N177" s="97" t="n"/>
      <c r="O177" s="97" t="n"/>
      <c r="Q177" s="97" t="n"/>
      <c r="R177" s="97" t="n"/>
      <c r="S177" s="97" t="n"/>
      <c r="T177" s="97" t="n"/>
      <c r="U177" s="97" t="n"/>
      <c r="V177" s="97" t="n"/>
      <c r="W177" s="97" t="n"/>
      <c r="X177" s="97" t="n"/>
      <c r="Y177" s="97" t="n"/>
      <c r="Z177" s="97" t="n"/>
      <c r="AA177" s="97" t="n"/>
      <c r="AB177" s="97" t="n"/>
      <c r="AC177" s="97" t="n"/>
      <c r="AD177" s="97" t="n"/>
      <c r="AE177" s="97" t="n"/>
      <c r="AF177" s="97" t="n"/>
      <c r="AG177" s="97" t="n"/>
      <c r="AH177" s="97" t="n"/>
      <c r="AI177" s="97" t="n"/>
      <c r="AJ177" s="97" t="n"/>
      <c r="AK177" s="97" t="n"/>
      <c r="AL177" s="97" t="n"/>
      <c r="AM177" s="97" t="n"/>
      <c r="AN177" s="97" t="n"/>
      <c r="AO177" s="97" t="n"/>
      <c r="AP177" s="97" t="n"/>
      <c r="AQ177" s="97" t="n"/>
      <c r="AR177" s="97" t="n"/>
      <c r="AS177" s="97" t="n"/>
      <c r="AT177" s="97" t="n"/>
      <c r="AU177" s="97" t="n"/>
      <c r="AV177" s="97" t="n"/>
      <c r="AW177" s="97" t="n"/>
      <c r="AX177" s="97" t="n"/>
      <c r="AY177" s="97" t="n"/>
      <c r="AZ177" s="97" t="n"/>
      <c r="BA177" s="97" t="n"/>
      <c r="BB177" s="97" t="n"/>
    </row>
    <row r="178" ht="22" customHeight="1" s="110">
      <c r="A178" s="96" t="n"/>
      <c r="B178" s="96" t="n"/>
      <c r="C178" s="96" t="n"/>
      <c r="D178" s="96" t="n"/>
      <c r="E178" s="96" t="n"/>
      <c r="F178" s="96" t="n"/>
      <c r="G178" s="96" t="n"/>
      <c r="H178" s="96" t="n"/>
      <c r="I178" s="96" t="n"/>
      <c r="J178" s="96" t="n"/>
      <c r="L178" s="96" t="n"/>
      <c r="M178" s="96" t="n"/>
      <c r="N178" s="96" t="n"/>
      <c r="O178" s="96" t="n"/>
      <c r="Q178" s="96" t="n"/>
      <c r="R178" s="96" t="n"/>
      <c r="S178" s="96" t="n"/>
      <c r="T178" s="96" t="n"/>
      <c r="U178" s="96" t="n"/>
      <c r="V178" s="96" t="n"/>
      <c r="W178" s="96" t="n"/>
      <c r="X178" s="96" t="n"/>
      <c r="Y178" s="96" t="n"/>
      <c r="Z178" s="96" t="n"/>
      <c r="AA178" s="96" t="n"/>
      <c r="AB178" s="96" t="n"/>
      <c r="AC178" s="96" t="n"/>
      <c r="AD178" s="96" t="n"/>
      <c r="AE178" s="96" t="n"/>
      <c r="AF178" s="96" t="n"/>
      <c r="AG178" s="96" t="n"/>
      <c r="AH178" s="96" t="n"/>
      <c r="AI178" s="96" t="n"/>
      <c r="AJ178" s="96" t="n"/>
      <c r="AK178" s="96" t="n"/>
      <c r="AL178" s="96" t="n"/>
      <c r="AM178" s="96" t="n"/>
      <c r="AN178" s="96" t="n"/>
      <c r="AO178" s="96" t="n"/>
      <c r="AP178" s="96" t="n"/>
      <c r="AQ178" s="96" t="n"/>
      <c r="AR178" s="96" t="n"/>
      <c r="AS178" s="96" t="n"/>
      <c r="AT178" s="96" t="n"/>
      <c r="AU178" s="96" t="n"/>
      <c r="AV178" s="96" t="n"/>
      <c r="AW178" s="96" t="n"/>
      <c r="AX178" s="96" t="n"/>
      <c r="AY178" s="96" t="n"/>
      <c r="AZ178" s="96" t="n"/>
      <c r="BA178" s="96" t="n"/>
      <c r="BB178" s="96" t="n"/>
    </row>
    <row r="179" ht="22" customHeight="1" s="110">
      <c r="A179" s="97" t="n"/>
      <c r="B179" s="97" t="n"/>
      <c r="C179" s="97" t="n"/>
      <c r="D179" s="97" t="n"/>
      <c r="E179" s="97" t="n"/>
      <c r="F179" s="97" t="n"/>
      <c r="G179" s="97" t="n"/>
      <c r="H179" s="97" t="n"/>
      <c r="I179" s="97" t="n"/>
      <c r="J179" s="97" t="n"/>
      <c r="L179" s="97" t="n"/>
      <c r="M179" s="97" t="n"/>
      <c r="N179" s="97" t="n"/>
      <c r="O179" s="97" t="n"/>
      <c r="Q179" s="97" t="n"/>
      <c r="R179" s="97" t="n"/>
      <c r="S179" s="97" t="n"/>
      <c r="T179" s="97" t="n"/>
      <c r="U179" s="97" t="n"/>
      <c r="V179" s="97" t="n"/>
      <c r="W179" s="97" t="n"/>
      <c r="X179" s="97" t="n"/>
      <c r="Y179" s="97" t="n"/>
      <c r="Z179" s="97" t="n"/>
      <c r="AA179" s="97" t="n"/>
      <c r="AB179" s="97" t="n"/>
      <c r="AC179" s="97" t="n"/>
      <c r="AD179" s="97" t="n"/>
      <c r="AE179" s="97" t="n"/>
      <c r="AF179" s="97" t="n"/>
      <c r="AG179" s="97" t="n"/>
      <c r="AH179" s="97" t="n"/>
      <c r="AI179" s="97" t="n"/>
      <c r="AJ179" s="97" t="n"/>
      <c r="AK179" s="97" t="n"/>
      <c r="AL179" s="97" t="n"/>
      <c r="AM179" s="97" t="n"/>
      <c r="AN179" s="97" t="n"/>
      <c r="AO179" s="97" t="n"/>
      <c r="AP179" s="97" t="n"/>
      <c r="AQ179" s="97" t="n"/>
      <c r="AR179" s="97" t="n"/>
      <c r="AS179" s="97" t="n"/>
      <c r="AT179" s="97" t="n"/>
      <c r="AU179" s="97" t="n"/>
      <c r="AV179" s="97" t="n"/>
      <c r="AW179" s="97" t="n"/>
      <c r="AX179" s="97" t="n"/>
      <c r="AY179" s="97" t="n"/>
      <c r="AZ179" s="97" t="n"/>
      <c r="BA179" s="97" t="n"/>
      <c r="BB179" s="97" t="n"/>
    </row>
    <row r="180" ht="22" customHeight="1" s="110">
      <c r="A180" s="96" t="n"/>
      <c r="B180" s="96" t="n"/>
      <c r="C180" s="96" t="n"/>
      <c r="D180" s="96" t="n"/>
      <c r="E180" s="96" t="n"/>
      <c r="F180" s="96" t="n"/>
      <c r="G180" s="96" t="n"/>
      <c r="H180" s="96" t="n"/>
      <c r="I180" s="96" t="n"/>
      <c r="J180" s="96" t="n"/>
      <c r="L180" s="96" t="n"/>
      <c r="M180" s="96" t="n"/>
      <c r="N180" s="96" t="n"/>
      <c r="O180" s="96" t="n"/>
      <c r="Q180" s="96" t="n"/>
      <c r="R180" s="96" t="n"/>
      <c r="S180" s="96" t="n"/>
      <c r="T180" s="96" t="n"/>
      <c r="U180" s="96" t="n"/>
      <c r="V180" s="96" t="n"/>
      <c r="W180" s="96" t="n"/>
      <c r="X180" s="96" t="n"/>
      <c r="Y180" s="96" t="n"/>
      <c r="Z180" s="96" t="n"/>
      <c r="AA180" s="96" t="n"/>
      <c r="AB180" s="96" t="n"/>
      <c r="AC180" s="96" t="n"/>
      <c r="AD180" s="96" t="n"/>
      <c r="AE180" s="96" t="n"/>
      <c r="AF180" s="96" t="n"/>
      <c r="AG180" s="96" t="n"/>
      <c r="AH180" s="96" t="n"/>
      <c r="AI180" s="96" t="n"/>
      <c r="AJ180" s="96" t="n"/>
      <c r="AK180" s="96" t="n"/>
      <c r="AL180" s="96" t="n"/>
      <c r="AM180" s="96" t="n"/>
      <c r="AN180" s="96" t="n"/>
      <c r="AO180" s="96" t="n"/>
      <c r="AP180" s="96" t="n"/>
      <c r="AQ180" s="96" t="n"/>
      <c r="AR180" s="96" t="n"/>
      <c r="AS180" s="96" t="n"/>
      <c r="AT180" s="96" t="n"/>
      <c r="AU180" s="96" t="n"/>
      <c r="AV180" s="96" t="n"/>
      <c r="AW180" s="96" t="n"/>
      <c r="AX180" s="96" t="n"/>
      <c r="AY180" s="96" t="n"/>
      <c r="AZ180" s="96" t="n"/>
      <c r="BA180" s="96" t="n"/>
      <c r="BB180" s="96" t="n"/>
    </row>
    <row r="181" ht="22" customHeight="1" s="110">
      <c r="A181" s="97" t="n"/>
      <c r="B181" s="97" t="n"/>
      <c r="C181" s="97" t="n"/>
      <c r="D181" s="97" t="n"/>
      <c r="E181" s="97" t="n"/>
      <c r="F181" s="97" t="n"/>
      <c r="G181" s="97" t="n"/>
      <c r="H181" s="97" t="n"/>
      <c r="I181" s="97" t="n"/>
      <c r="J181" s="97" t="n"/>
      <c r="L181" s="97" t="n"/>
      <c r="M181" s="97" t="n"/>
      <c r="N181" s="97" t="n"/>
      <c r="O181" s="97" t="n"/>
      <c r="Q181" s="97" t="n"/>
      <c r="R181" s="97" t="n"/>
      <c r="S181" s="97" t="n"/>
      <c r="T181" s="97" t="n"/>
      <c r="U181" s="97" t="n"/>
      <c r="V181" s="97" t="n"/>
      <c r="W181" s="97" t="n"/>
      <c r="X181" s="97" t="n"/>
      <c r="Y181" s="97" t="n"/>
      <c r="Z181" s="97" t="n"/>
      <c r="AA181" s="97" t="n"/>
      <c r="AB181" s="97" t="n"/>
      <c r="AC181" s="97" t="n"/>
      <c r="AD181" s="97" t="n"/>
      <c r="AE181" s="97" t="n"/>
      <c r="AF181" s="97" t="n"/>
      <c r="AG181" s="97" t="n"/>
      <c r="AH181" s="97" t="n"/>
      <c r="AI181" s="97" t="n"/>
      <c r="AJ181" s="97" t="n"/>
      <c r="AK181" s="97" t="n"/>
      <c r="AL181" s="97" t="n"/>
      <c r="AM181" s="97" t="n"/>
      <c r="AN181" s="97" t="n"/>
      <c r="AO181" s="97" t="n"/>
      <c r="AP181" s="97" t="n"/>
      <c r="AQ181" s="97" t="n"/>
      <c r="AR181" s="97" t="n"/>
      <c r="AS181" s="97" t="n"/>
      <c r="AT181" s="97" t="n"/>
      <c r="AU181" s="97" t="n"/>
      <c r="AV181" s="97" t="n"/>
      <c r="AW181" s="97" t="n"/>
      <c r="AX181" s="97" t="n"/>
      <c r="AY181" s="97" t="n"/>
      <c r="AZ181" s="97" t="n"/>
      <c r="BA181" s="97" t="n"/>
      <c r="BB181" s="97" t="n"/>
    </row>
    <row r="182" ht="22" customHeight="1" s="110">
      <c r="A182" s="96" t="n"/>
      <c r="B182" s="96" t="n"/>
      <c r="C182" s="96" t="n"/>
      <c r="D182" s="96" t="n"/>
      <c r="E182" s="96" t="n"/>
      <c r="F182" s="96" t="n"/>
      <c r="G182" s="96" t="n"/>
      <c r="H182" s="96" t="n"/>
      <c r="I182" s="96" t="n"/>
      <c r="J182" s="96" t="n"/>
      <c r="L182" s="96" t="n"/>
      <c r="M182" s="96" t="n"/>
      <c r="N182" s="96" t="n"/>
      <c r="O182" s="96" t="n"/>
      <c r="Q182" s="96" t="n"/>
      <c r="R182" s="96" t="n"/>
      <c r="S182" s="96" t="n"/>
      <c r="T182" s="96" t="n"/>
      <c r="U182" s="96" t="n"/>
      <c r="V182" s="96" t="n"/>
      <c r="W182" s="96" t="n"/>
      <c r="X182" s="96" t="n"/>
      <c r="Y182" s="96" t="n"/>
      <c r="Z182" s="96" t="n"/>
      <c r="AA182" s="96" t="n"/>
      <c r="AB182" s="96" t="n"/>
      <c r="AC182" s="96" t="n"/>
      <c r="AD182" s="96" t="n"/>
      <c r="AE182" s="96" t="n"/>
      <c r="AF182" s="96" t="n"/>
      <c r="AG182" s="96" t="n"/>
      <c r="AH182" s="96" t="n"/>
      <c r="AI182" s="96" t="n"/>
      <c r="AJ182" s="96" t="n"/>
      <c r="AK182" s="96" t="n"/>
      <c r="AL182" s="96" t="n"/>
      <c r="AM182" s="96" t="n"/>
      <c r="AN182" s="96" t="n"/>
      <c r="AO182" s="96" t="n"/>
      <c r="AP182" s="96" t="n"/>
      <c r="AQ182" s="96" t="n"/>
      <c r="AR182" s="96" t="n"/>
      <c r="AS182" s="96" t="n"/>
      <c r="AT182" s="96" t="n"/>
      <c r="AU182" s="96" t="n"/>
      <c r="AV182" s="96" t="n"/>
      <c r="AW182" s="96" t="n"/>
      <c r="AX182" s="96" t="n"/>
      <c r="AY182" s="96" t="n"/>
      <c r="AZ182" s="96" t="n"/>
      <c r="BA182" s="96" t="n"/>
      <c r="BB182" s="96" t="n"/>
    </row>
    <row r="183" ht="22" customHeight="1" s="110">
      <c r="A183" s="97" t="n"/>
      <c r="B183" s="97" t="n"/>
      <c r="C183" s="97" t="n"/>
      <c r="D183" s="97" t="n"/>
      <c r="E183" s="97" t="n"/>
      <c r="F183" s="97" t="n"/>
      <c r="G183" s="97" t="n"/>
      <c r="H183" s="97" t="n"/>
      <c r="I183" s="97" t="n"/>
      <c r="J183" s="97" t="n"/>
      <c r="L183" s="97" t="n"/>
      <c r="M183" s="97" t="n"/>
      <c r="N183" s="97" t="n"/>
      <c r="O183" s="97" t="n"/>
      <c r="Q183" s="97" t="n"/>
      <c r="R183" s="97" t="n"/>
      <c r="S183" s="97" t="n"/>
      <c r="T183" s="97" t="n"/>
      <c r="U183" s="97" t="n"/>
      <c r="V183" s="97" t="n"/>
      <c r="W183" s="97" t="n"/>
      <c r="X183" s="97" t="n"/>
      <c r="Y183" s="97" t="n"/>
      <c r="Z183" s="97" t="n"/>
      <c r="AA183" s="97" t="n"/>
      <c r="AB183" s="97" t="n"/>
      <c r="AC183" s="97" t="n"/>
      <c r="AD183" s="97" t="n"/>
      <c r="AE183" s="97" t="n"/>
      <c r="AF183" s="97" t="n"/>
      <c r="AG183" s="97" t="n"/>
      <c r="AH183" s="97" t="n"/>
      <c r="AI183" s="97" t="n"/>
      <c r="AJ183" s="97" t="n"/>
      <c r="AK183" s="97" t="n"/>
      <c r="AL183" s="97" t="n"/>
      <c r="AM183" s="97" t="n"/>
      <c r="AN183" s="97" t="n"/>
      <c r="AO183" s="97" t="n"/>
      <c r="AP183" s="97" t="n"/>
      <c r="AQ183" s="97" t="n"/>
      <c r="AR183" s="97" t="n"/>
      <c r="AS183" s="97" t="n"/>
      <c r="AT183" s="97" t="n"/>
      <c r="AU183" s="97" t="n"/>
      <c r="AV183" s="97" t="n"/>
      <c r="AW183" s="97" t="n"/>
      <c r="AX183" s="97" t="n"/>
      <c r="AY183" s="97" t="n"/>
      <c r="AZ183" s="97" t="n"/>
      <c r="BA183" s="97" t="n"/>
      <c r="BB183" s="97" t="n"/>
    </row>
    <row r="184" ht="22" customHeight="1" s="110">
      <c r="A184" s="96" t="n"/>
      <c r="B184" s="96" t="n"/>
      <c r="C184" s="96" t="n"/>
      <c r="D184" s="96" t="n"/>
      <c r="E184" s="96" t="n"/>
      <c r="F184" s="96" t="n"/>
      <c r="G184" s="96" t="n"/>
      <c r="H184" s="96" t="n"/>
      <c r="I184" s="96" t="n"/>
      <c r="J184" s="96" t="n"/>
      <c r="L184" s="96" t="n"/>
      <c r="M184" s="96" t="n"/>
      <c r="N184" s="96" t="n"/>
      <c r="O184" s="96" t="n"/>
      <c r="Q184" s="96" t="n"/>
      <c r="R184" s="96" t="n"/>
      <c r="S184" s="96" t="n"/>
      <c r="T184" s="96" t="n"/>
      <c r="U184" s="96" t="n"/>
      <c r="V184" s="96" t="n"/>
      <c r="W184" s="96" t="n"/>
      <c r="X184" s="96" t="n"/>
      <c r="Y184" s="96" t="n"/>
      <c r="Z184" s="96" t="n"/>
      <c r="AA184" s="96" t="n"/>
      <c r="AB184" s="96" t="n"/>
      <c r="AC184" s="96" t="n"/>
      <c r="AD184" s="96" t="n"/>
      <c r="AE184" s="96" t="n"/>
      <c r="AF184" s="96" t="n"/>
      <c r="AG184" s="96" t="n"/>
      <c r="AH184" s="96" t="n"/>
      <c r="AI184" s="96" t="n"/>
      <c r="AJ184" s="96" t="n"/>
      <c r="AK184" s="96" t="n"/>
      <c r="AL184" s="96" t="n"/>
      <c r="AM184" s="96" t="n"/>
      <c r="AN184" s="96" t="n"/>
      <c r="AO184" s="96" t="n"/>
      <c r="AP184" s="96" t="n"/>
      <c r="AQ184" s="96" t="n"/>
      <c r="AR184" s="96" t="n"/>
      <c r="AS184" s="96" t="n"/>
      <c r="AT184" s="96" t="n"/>
      <c r="AU184" s="96" t="n"/>
      <c r="AV184" s="96" t="n"/>
      <c r="AW184" s="96" t="n"/>
      <c r="AX184" s="96" t="n"/>
      <c r="AY184" s="96" t="n"/>
      <c r="AZ184" s="96" t="n"/>
      <c r="BA184" s="96" t="n"/>
      <c r="BB184" s="96" t="n"/>
    </row>
    <row r="185" ht="22" customHeight="1" s="110">
      <c r="A185" s="97" t="n"/>
      <c r="B185" s="97" t="n"/>
      <c r="C185" s="97" t="n"/>
      <c r="D185" s="97" t="n"/>
      <c r="E185" s="97" t="n"/>
      <c r="F185" s="97" t="n"/>
      <c r="G185" s="97" t="n"/>
      <c r="H185" s="97" t="n"/>
      <c r="I185" s="97" t="n"/>
      <c r="J185" s="97" t="n"/>
      <c r="L185" s="97" t="n"/>
      <c r="M185" s="97" t="n"/>
      <c r="N185" s="97" t="n"/>
      <c r="O185" s="97" t="n"/>
      <c r="Q185" s="97" t="n"/>
      <c r="R185" s="97" t="n"/>
      <c r="S185" s="97" t="n"/>
      <c r="T185" s="97" t="n"/>
      <c r="U185" s="97" t="n"/>
      <c r="V185" s="97" t="n"/>
      <c r="W185" s="97" t="n"/>
      <c r="X185" s="97" t="n"/>
      <c r="Y185" s="97" t="n"/>
      <c r="Z185" s="97" t="n"/>
      <c r="AA185" s="97" t="n"/>
      <c r="AB185" s="97" t="n"/>
      <c r="AC185" s="97" t="n"/>
      <c r="AD185" s="97" t="n"/>
      <c r="AE185" s="97" t="n"/>
      <c r="AF185" s="97" t="n"/>
      <c r="AG185" s="97" t="n"/>
      <c r="AH185" s="97" t="n"/>
      <c r="AI185" s="97" t="n"/>
      <c r="AJ185" s="97" t="n"/>
      <c r="AK185" s="97" t="n"/>
      <c r="AL185" s="97" t="n"/>
      <c r="AM185" s="97" t="n"/>
      <c r="AN185" s="97" t="n"/>
      <c r="AO185" s="97" t="n"/>
      <c r="AP185" s="97" t="n"/>
      <c r="AQ185" s="97" t="n"/>
      <c r="AR185" s="97" t="n"/>
      <c r="AS185" s="97" t="n"/>
      <c r="AT185" s="97" t="n"/>
      <c r="AU185" s="97" t="n"/>
      <c r="AV185" s="97" t="n"/>
      <c r="AW185" s="97" t="n"/>
      <c r="AX185" s="97" t="n"/>
      <c r="AY185" s="97" t="n"/>
      <c r="AZ185" s="97" t="n"/>
      <c r="BA185" s="97" t="n"/>
      <c r="BB185" s="97" t="n"/>
    </row>
    <row r="186" ht="22" customHeight="1" s="110">
      <c r="A186" s="96" t="n"/>
      <c r="B186" s="96" t="n"/>
      <c r="C186" s="96" t="n"/>
      <c r="D186" s="96" t="n"/>
      <c r="E186" s="96" t="n"/>
      <c r="F186" s="96" t="n"/>
      <c r="G186" s="96" t="n"/>
      <c r="H186" s="96" t="n"/>
      <c r="I186" s="96" t="n"/>
      <c r="J186" s="96" t="n"/>
      <c r="L186" s="96" t="n"/>
      <c r="M186" s="96" t="n"/>
      <c r="N186" s="96" t="n"/>
      <c r="O186" s="96" t="n"/>
      <c r="Q186" s="96" t="n"/>
      <c r="R186" s="96" t="n"/>
      <c r="S186" s="96" t="n"/>
      <c r="T186" s="96" t="n"/>
      <c r="U186" s="96" t="n"/>
      <c r="V186" s="96" t="n"/>
      <c r="W186" s="96" t="n"/>
      <c r="X186" s="96" t="n"/>
      <c r="Y186" s="96" t="n"/>
      <c r="Z186" s="96" t="n"/>
      <c r="AA186" s="96" t="n"/>
      <c r="AB186" s="96" t="n"/>
      <c r="AC186" s="96" t="n"/>
      <c r="AD186" s="96" t="n"/>
      <c r="AE186" s="96" t="n"/>
      <c r="AF186" s="96" t="n"/>
      <c r="AG186" s="96" t="n"/>
      <c r="AH186" s="96" t="n"/>
      <c r="AI186" s="96" t="n"/>
      <c r="AJ186" s="96" t="n"/>
      <c r="AK186" s="96" t="n"/>
      <c r="AL186" s="96" t="n"/>
      <c r="AM186" s="96" t="n"/>
      <c r="AN186" s="96" t="n"/>
      <c r="AO186" s="96" t="n"/>
      <c r="AP186" s="96" t="n"/>
      <c r="AQ186" s="96" t="n"/>
      <c r="AR186" s="96" t="n"/>
      <c r="AS186" s="96" t="n"/>
      <c r="AT186" s="96" t="n"/>
      <c r="AU186" s="96" t="n"/>
      <c r="AV186" s="96" t="n"/>
      <c r="AW186" s="96" t="n"/>
      <c r="AX186" s="96" t="n"/>
      <c r="AY186" s="96" t="n"/>
      <c r="AZ186" s="96" t="n"/>
      <c r="BA186" s="96" t="n"/>
      <c r="BB186" s="96" t="n"/>
    </row>
    <row r="187" ht="22" customHeight="1" s="110">
      <c r="A187" s="97" t="n"/>
      <c r="B187" s="97" t="n"/>
      <c r="C187" s="97" t="n"/>
      <c r="D187" s="97" t="n"/>
      <c r="E187" s="97" t="n"/>
      <c r="F187" s="97" t="n"/>
      <c r="G187" s="97" t="n"/>
      <c r="H187" s="97" t="n"/>
      <c r="I187" s="97" t="n"/>
      <c r="J187" s="97" t="n"/>
      <c r="L187" s="97" t="n"/>
      <c r="M187" s="97" t="n"/>
      <c r="N187" s="97" t="n"/>
      <c r="O187" s="97" t="n"/>
      <c r="Q187" s="97" t="n"/>
      <c r="R187" s="97" t="n"/>
      <c r="S187" s="97" t="n"/>
      <c r="T187" s="97" t="n"/>
      <c r="U187" s="97" t="n"/>
      <c r="V187" s="97" t="n"/>
      <c r="W187" s="97" t="n"/>
      <c r="X187" s="97" t="n"/>
      <c r="Y187" s="97" t="n"/>
      <c r="Z187" s="97" t="n"/>
      <c r="AA187" s="97" t="n"/>
      <c r="AB187" s="97" t="n"/>
      <c r="AC187" s="97" t="n"/>
      <c r="AD187" s="97" t="n"/>
      <c r="AE187" s="97" t="n"/>
      <c r="AF187" s="97" t="n"/>
      <c r="AG187" s="97" t="n"/>
      <c r="AH187" s="97" t="n"/>
      <c r="AI187" s="97" t="n"/>
      <c r="AJ187" s="97" t="n"/>
      <c r="AK187" s="97" t="n"/>
      <c r="AL187" s="97" t="n"/>
      <c r="AM187" s="97" t="n"/>
      <c r="AN187" s="97" t="n"/>
      <c r="AO187" s="97" t="n"/>
      <c r="AP187" s="97" t="n"/>
      <c r="AQ187" s="97" t="n"/>
      <c r="AR187" s="97" t="n"/>
      <c r="AS187" s="97" t="n"/>
      <c r="AT187" s="97" t="n"/>
      <c r="AU187" s="97" t="n"/>
      <c r="AV187" s="97" t="n"/>
      <c r="AW187" s="97" t="n"/>
      <c r="AX187" s="97" t="n"/>
      <c r="AY187" s="97" t="n"/>
      <c r="AZ187" s="97" t="n"/>
      <c r="BA187" s="97" t="n"/>
      <c r="BB187" s="97" t="n"/>
    </row>
    <row r="188" ht="22" customHeight="1" s="110">
      <c r="A188" s="96" t="n"/>
      <c r="B188" s="96" t="n"/>
      <c r="C188" s="96" t="n"/>
      <c r="D188" s="96" t="n"/>
      <c r="E188" s="96" t="n"/>
      <c r="F188" s="96" t="n"/>
      <c r="G188" s="96" t="n"/>
      <c r="H188" s="96" t="n"/>
      <c r="I188" s="96" t="n"/>
      <c r="J188" s="96" t="n"/>
      <c r="L188" s="96" t="n"/>
      <c r="M188" s="96" t="n"/>
      <c r="N188" s="96" t="n"/>
      <c r="O188" s="96" t="n"/>
      <c r="Q188" s="96" t="n"/>
      <c r="R188" s="96" t="n"/>
      <c r="S188" s="96" t="n"/>
      <c r="T188" s="96" t="n"/>
      <c r="U188" s="96" t="n"/>
      <c r="V188" s="96" t="n"/>
      <c r="W188" s="96" t="n"/>
      <c r="X188" s="96" t="n"/>
      <c r="Y188" s="96" t="n"/>
      <c r="Z188" s="96" t="n"/>
      <c r="AA188" s="96" t="n"/>
      <c r="AB188" s="96" t="n"/>
      <c r="AC188" s="96" t="n"/>
      <c r="AD188" s="96" t="n"/>
      <c r="AE188" s="96" t="n"/>
      <c r="AF188" s="96" t="n"/>
      <c r="AG188" s="96" t="n"/>
      <c r="AH188" s="96" t="n"/>
      <c r="AI188" s="96" t="n"/>
      <c r="AJ188" s="96" t="n"/>
      <c r="AK188" s="96" t="n"/>
      <c r="AL188" s="96" t="n"/>
      <c r="AM188" s="96" t="n"/>
      <c r="AN188" s="96" t="n"/>
      <c r="AO188" s="96" t="n"/>
      <c r="AP188" s="96" t="n"/>
      <c r="AQ188" s="96" t="n"/>
      <c r="AR188" s="96" t="n"/>
      <c r="AS188" s="96" t="n"/>
      <c r="AT188" s="96" t="n"/>
      <c r="AU188" s="96" t="n"/>
      <c r="AV188" s="96" t="n"/>
      <c r="AW188" s="96" t="n"/>
      <c r="AX188" s="96" t="n"/>
      <c r="AY188" s="96" t="n"/>
      <c r="AZ188" s="96" t="n"/>
      <c r="BA188" s="96" t="n"/>
      <c r="BB188" s="96" t="n"/>
    </row>
    <row r="189" ht="22" customHeight="1" s="110">
      <c r="A189" s="97" t="n"/>
      <c r="B189" s="97" t="n"/>
      <c r="C189" s="97" t="n"/>
      <c r="D189" s="97" t="n"/>
      <c r="E189" s="97" t="n"/>
      <c r="F189" s="97" t="n"/>
      <c r="G189" s="97" t="n"/>
      <c r="H189" s="97" t="n"/>
      <c r="I189" s="97" t="n"/>
      <c r="J189" s="97" t="n"/>
      <c r="L189" s="97" t="n"/>
      <c r="M189" s="97" t="n"/>
      <c r="N189" s="97" t="n"/>
      <c r="O189" s="97" t="n"/>
      <c r="Q189" s="97" t="n"/>
      <c r="R189" s="97" t="n"/>
      <c r="S189" s="97" t="n"/>
      <c r="T189" s="97" t="n"/>
      <c r="U189" s="97" t="n"/>
      <c r="V189" s="97" t="n"/>
      <c r="W189" s="97" t="n"/>
      <c r="X189" s="97" t="n"/>
      <c r="Y189" s="97" t="n"/>
      <c r="Z189" s="97" t="n"/>
      <c r="AA189" s="97" t="n"/>
      <c r="AB189" s="97" t="n"/>
      <c r="AC189" s="97" t="n"/>
      <c r="AD189" s="97" t="n"/>
      <c r="AE189" s="97" t="n"/>
      <c r="AF189" s="97" t="n"/>
      <c r="AG189" s="97" t="n"/>
      <c r="AH189" s="97" t="n"/>
      <c r="AI189" s="97" t="n"/>
      <c r="AJ189" s="97" t="n"/>
      <c r="AK189" s="97" t="n"/>
      <c r="AL189" s="97" t="n"/>
      <c r="AM189" s="97" t="n"/>
      <c r="AN189" s="97" t="n"/>
      <c r="AO189" s="97" t="n"/>
      <c r="AP189" s="97" t="n"/>
      <c r="AQ189" s="97" t="n"/>
      <c r="AR189" s="97" t="n"/>
      <c r="AS189" s="97" t="n"/>
      <c r="AT189" s="97" t="n"/>
      <c r="AU189" s="97" t="n"/>
      <c r="AV189" s="97" t="n"/>
      <c r="AW189" s="97" t="n"/>
      <c r="AX189" s="97" t="n"/>
      <c r="AY189" s="97" t="n"/>
      <c r="AZ189" s="97" t="n"/>
      <c r="BA189" s="97" t="n"/>
      <c r="BB189" s="97" t="n"/>
    </row>
    <row r="190" ht="22" customHeight="1" s="110">
      <c r="A190" s="96" t="n"/>
      <c r="B190" s="96" t="n"/>
      <c r="C190" s="96" t="n"/>
      <c r="D190" s="96" t="n"/>
      <c r="E190" s="96" t="n"/>
      <c r="F190" s="96" t="n"/>
      <c r="G190" s="96" t="n"/>
      <c r="H190" s="96" t="n"/>
      <c r="I190" s="96" t="n"/>
      <c r="J190" s="96" t="n"/>
      <c r="L190" s="96" t="n"/>
      <c r="M190" s="96" t="n"/>
      <c r="N190" s="96" t="n"/>
      <c r="O190" s="96" t="n"/>
      <c r="Q190" s="96" t="n"/>
      <c r="R190" s="96" t="n"/>
      <c r="S190" s="96" t="n"/>
      <c r="T190" s="96" t="n"/>
      <c r="U190" s="96" t="n"/>
      <c r="V190" s="96" t="n"/>
      <c r="W190" s="96" t="n"/>
      <c r="X190" s="96" t="n"/>
      <c r="Y190" s="96" t="n"/>
      <c r="Z190" s="96" t="n"/>
      <c r="AA190" s="96" t="n"/>
      <c r="AB190" s="96" t="n"/>
      <c r="AC190" s="96" t="n"/>
      <c r="AD190" s="96" t="n"/>
      <c r="AE190" s="96" t="n"/>
      <c r="AF190" s="96" t="n"/>
      <c r="AG190" s="96" t="n"/>
      <c r="AH190" s="96" t="n"/>
      <c r="AI190" s="96" t="n"/>
      <c r="AJ190" s="96" t="n"/>
      <c r="AK190" s="96" t="n"/>
      <c r="AL190" s="96" t="n"/>
      <c r="AM190" s="96" t="n"/>
      <c r="AN190" s="96" t="n"/>
      <c r="AO190" s="96" t="n"/>
      <c r="AP190" s="96" t="n"/>
      <c r="AQ190" s="96" t="n"/>
      <c r="AR190" s="96" t="n"/>
      <c r="AS190" s="96" t="n"/>
      <c r="AT190" s="96" t="n"/>
      <c r="AU190" s="96" t="n"/>
      <c r="AV190" s="96" t="n"/>
      <c r="AW190" s="96" t="n"/>
      <c r="AX190" s="96" t="n"/>
      <c r="AY190" s="96" t="n"/>
      <c r="AZ190" s="96" t="n"/>
      <c r="BA190" s="96" t="n"/>
      <c r="BB190" s="96" t="n"/>
    </row>
    <row r="191" ht="22" customHeight="1" s="110">
      <c r="A191" s="97" t="n"/>
      <c r="B191" s="97" t="n"/>
      <c r="C191" s="97" t="n"/>
      <c r="D191" s="97" t="n"/>
      <c r="E191" s="97" t="n"/>
      <c r="F191" s="97" t="n"/>
      <c r="G191" s="97" t="n"/>
      <c r="H191" s="97" t="n"/>
      <c r="I191" s="97" t="n"/>
      <c r="J191" s="97" t="n"/>
      <c r="L191" s="97" t="n"/>
      <c r="M191" s="97" t="n"/>
      <c r="N191" s="97" t="n"/>
      <c r="O191" s="97" t="n"/>
      <c r="Q191" s="97" t="n"/>
      <c r="R191" s="97" t="n"/>
      <c r="S191" s="97" t="n"/>
      <c r="T191" s="97" t="n"/>
      <c r="U191" s="97" t="n"/>
      <c r="V191" s="97" t="n"/>
      <c r="W191" s="97" t="n"/>
      <c r="X191" s="97" t="n"/>
      <c r="Y191" s="97" t="n"/>
      <c r="Z191" s="97" t="n"/>
      <c r="AA191" s="97" t="n"/>
      <c r="AB191" s="97" t="n"/>
      <c r="AC191" s="97" t="n"/>
      <c r="AD191" s="97" t="n"/>
      <c r="AE191" s="97" t="n"/>
      <c r="AF191" s="97" t="n"/>
      <c r="AG191" s="97" t="n"/>
      <c r="AH191" s="97" t="n"/>
      <c r="AI191" s="97" t="n"/>
      <c r="AJ191" s="97" t="n"/>
      <c r="AK191" s="97" t="n"/>
      <c r="AL191" s="97" t="n"/>
      <c r="AM191" s="97" t="n"/>
      <c r="AN191" s="97" t="n"/>
      <c r="AO191" s="97" t="n"/>
      <c r="AP191" s="97" t="n"/>
      <c r="AQ191" s="97" t="n"/>
      <c r="AR191" s="97" t="n"/>
      <c r="AS191" s="97" t="n"/>
      <c r="AT191" s="97" t="n"/>
      <c r="AU191" s="97" t="n"/>
      <c r="AV191" s="97" t="n"/>
      <c r="AW191" s="97" t="n"/>
      <c r="AX191" s="97" t="n"/>
      <c r="AY191" s="97" t="n"/>
      <c r="AZ191" s="97" t="n"/>
      <c r="BA191" s="97" t="n"/>
      <c r="BB191" s="97" t="n"/>
    </row>
    <row r="192" ht="22" customHeight="1" s="110">
      <c r="A192" s="96" t="n"/>
      <c r="B192" s="96" t="n"/>
      <c r="C192" s="96" t="n"/>
      <c r="D192" s="96" t="n"/>
      <c r="E192" s="96" t="n"/>
      <c r="F192" s="96" t="n"/>
      <c r="G192" s="96" t="n"/>
      <c r="H192" s="96" t="n"/>
      <c r="I192" s="96" t="n"/>
      <c r="J192" s="96" t="n"/>
      <c r="L192" s="96" t="n"/>
      <c r="M192" s="96" t="n"/>
      <c r="N192" s="96" t="n"/>
      <c r="O192" s="96" t="n"/>
      <c r="Q192" s="96" t="n"/>
      <c r="R192" s="96" t="n"/>
      <c r="S192" s="96" t="n"/>
      <c r="T192" s="96" t="n"/>
      <c r="U192" s="96" t="n"/>
      <c r="V192" s="96" t="n"/>
      <c r="W192" s="96" t="n"/>
      <c r="X192" s="96" t="n"/>
      <c r="Y192" s="96" t="n"/>
      <c r="Z192" s="96" t="n"/>
      <c r="AA192" s="96" t="n"/>
      <c r="AB192" s="96" t="n"/>
      <c r="AC192" s="96" t="n"/>
      <c r="AD192" s="96" t="n"/>
      <c r="AE192" s="96" t="n"/>
      <c r="AF192" s="96" t="n"/>
      <c r="AG192" s="96" t="n"/>
      <c r="AH192" s="96" t="n"/>
      <c r="AI192" s="96" t="n"/>
      <c r="AJ192" s="96" t="n"/>
      <c r="AK192" s="96" t="n"/>
      <c r="AL192" s="96" t="n"/>
      <c r="AM192" s="96" t="n"/>
      <c r="AN192" s="96" t="n"/>
      <c r="AO192" s="96" t="n"/>
      <c r="AP192" s="96" t="n"/>
      <c r="AQ192" s="96" t="n"/>
      <c r="AR192" s="96" t="n"/>
      <c r="AS192" s="96" t="n"/>
      <c r="AT192" s="96" t="n"/>
      <c r="AU192" s="96" t="n"/>
      <c r="AV192" s="96" t="n"/>
      <c r="AW192" s="96" t="n"/>
      <c r="AX192" s="96" t="n"/>
      <c r="AY192" s="96" t="n"/>
      <c r="AZ192" s="96" t="n"/>
      <c r="BA192" s="96" t="n"/>
      <c r="BB192" s="96" t="n"/>
    </row>
    <row r="193" ht="22" customHeight="1" s="110">
      <c r="A193" s="97" t="n"/>
      <c r="B193" s="97" t="n"/>
      <c r="C193" s="97" t="n"/>
      <c r="D193" s="97" t="n"/>
      <c r="E193" s="97" t="n"/>
      <c r="F193" s="97" t="n"/>
      <c r="G193" s="97" t="n"/>
      <c r="H193" s="97" t="n"/>
      <c r="I193" s="97" t="n"/>
      <c r="J193" s="97" t="n"/>
      <c r="L193" s="97" t="n"/>
      <c r="M193" s="97" t="n"/>
      <c r="N193" s="97" t="n"/>
      <c r="O193" s="97" t="n"/>
      <c r="Q193" s="97" t="n"/>
      <c r="R193" s="97" t="n"/>
      <c r="S193" s="97" t="n"/>
      <c r="T193" s="97" t="n"/>
      <c r="U193" s="97" t="n"/>
      <c r="V193" s="97" t="n"/>
      <c r="W193" s="97" t="n"/>
      <c r="X193" s="97" t="n"/>
      <c r="Y193" s="97" t="n"/>
      <c r="Z193" s="97" t="n"/>
      <c r="AA193" s="97" t="n"/>
      <c r="AB193" s="97" t="n"/>
      <c r="AC193" s="97" t="n"/>
      <c r="AD193" s="97" t="n"/>
      <c r="AE193" s="97" t="n"/>
      <c r="AF193" s="97" t="n"/>
      <c r="AG193" s="97" t="n"/>
      <c r="AH193" s="97" t="n"/>
      <c r="AI193" s="97" t="n"/>
      <c r="AJ193" s="97" t="n"/>
      <c r="AK193" s="97" t="n"/>
      <c r="AL193" s="97" t="n"/>
      <c r="AM193" s="97" t="n"/>
      <c r="AN193" s="97" t="n"/>
      <c r="AO193" s="97" t="n"/>
      <c r="AP193" s="97" t="n"/>
      <c r="AQ193" s="97" t="n"/>
      <c r="AR193" s="97" t="n"/>
      <c r="AS193" s="97" t="n"/>
      <c r="AT193" s="97" t="n"/>
      <c r="AU193" s="97" t="n"/>
      <c r="AV193" s="97" t="n"/>
      <c r="AW193" s="97" t="n"/>
      <c r="AX193" s="97" t="n"/>
      <c r="AY193" s="97" t="n"/>
      <c r="AZ193" s="97" t="n"/>
      <c r="BA193" s="97" t="n"/>
      <c r="BB193" s="97" t="n"/>
    </row>
    <row r="194" ht="22" customHeight="1" s="110">
      <c r="A194" s="96" t="n"/>
      <c r="B194" s="96" t="n"/>
      <c r="C194" s="96" t="n"/>
      <c r="D194" s="96" t="n"/>
      <c r="E194" s="96" t="n"/>
      <c r="F194" s="96" t="n"/>
      <c r="G194" s="96" t="n"/>
      <c r="H194" s="96" t="n"/>
      <c r="I194" s="96" t="n"/>
      <c r="J194" s="96" t="n"/>
      <c r="L194" s="96" t="n"/>
      <c r="M194" s="96" t="n"/>
      <c r="N194" s="96" t="n"/>
      <c r="O194" s="96" t="n"/>
      <c r="Q194" s="96" t="n"/>
      <c r="R194" s="96" t="n"/>
      <c r="S194" s="96" t="n"/>
      <c r="T194" s="96" t="n"/>
      <c r="U194" s="96" t="n"/>
      <c r="V194" s="96" t="n"/>
      <c r="W194" s="96" t="n"/>
      <c r="X194" s="96" t="n"/>
      <c r="Y194" s="96" t="n"/>
      <c r="Z194" s="96" t="n"/>
      <c r="AA194" s="96" t="n"/>
      <c r="AB194" s="96" t="n"/>
      <c r="AC194" s="96" t="n"/>
      <c r="AD194" s="96" t="n"/>
      <c r="AE194" s="96" t="n"/>
      <c r="AF194" s="96" t="n"/>
      <c r="AG194" s="96" t="n"/>
      <c r="AH194" s="96" t="n"/>
      <c r="AI194" s="96" t="n"/>
      <c r="AJ194" s="96" t="n"/>
      <c r="AK194" s="96" t="n"/>
      <c r="AL194" s="96" t="n"/>
      <c r="AM194" s="96" t="n"/>
      <c r="AN194" s="96" t="n"/>
      <c r="AO194" s="96" t="n"/>
      <c r="AP194" s="96" t="n"/>
      <c r="AQ194" s="96" t="n"/>
      <c r="AR194" s="96" t="n"/>
      <c r="AS194" s="96" t="n"/>
      <c r="AT194" s="96" t="n"/>
      <c r="AU194" s="96" t="n"/>
      <c r="AV194" s="96" t="n"/>
      <c r="AW194" s="96" t="n"/>
      <c r="AX194" s="96" t="n"/>
      <c r="AY194" s="96" t="n"/>
      <c r="AZ194" s="96" t="n"/>
      <c r="BA194" s="96" t="n"/>
      <c r="BB194" s="96" t="n"/>
    </row>
    <row r="195" ht="22" customHeight="1" s="110">
      <c r="A195" s="97" t="n"/>
      <c r="B195" s="97" t="n"/>
      <c r="C195" s="97" t="n"/>
      <c r="D195" s="97" t="n"/>
      <c r="E195" s="97" t="n"/>
      <c r="F195" s="97" t="n"/>
      <c r="G195" s="97" t="n"/>
      <c r="H195" s="97" t="n"/>
      <c r="I195" s="97" t="n"/>
      <c r="J195" s="97" t="n"/>
      <c r="L195" s="97" t="n"/>
      <c r="M195" s="97" t="n"/>
      <c r="N195" s="97" t="n"/>
      <c r="O195" s="97" t="n"/>
      <c r="Q195" s="97" t="n"/>
      <c r="R195" s="97" t="n"/>
      <c r="S195" s="97" t="n"/>
      <c r="T195" s="97" t="n"/>
      <c r="U195" s="97" t="n"/>
      <c r="V195" s="97" t="n"/>
      <c r="W195" s="97" t="n"/>
      <c r="X195" s="97" t="n"/>
      <c r="Y195" s="97" t="n"/>
      <c r="Z195" s="97" t="n"/>
      <c r="AA195" s="97" t="n"/>
      <c r="AB195" s="97" t="n"/>
      <c r="AC195" s="97" t="n"/>
      <c r="AD195" s="97" t="n"/>
      <c r="AE195" s="97" t="n"/>
      <c r="AF195" s="97" t="n"/>
      <c r="AG195" s="97" t="n"/>
      <c r="AH195" s="97" t="n"/>
      <c r="AI195" s="97" t="n"/>
      <c r="AJ195" s="97" t="n"/>
      <c r="AK195" s="97" t="n"/>
      <c r="AL195" s="97" t="n"/>
      <c r="AM195" s="97" t="n"/>
      <c r="AN195" s="97" t="n"/>
      <c r="AO195" s="97" t="n"/>
      <c r="AP195" s="97" t="n"/>
      <c r="AQ195" s="97" t="n"/>
      <c r="AR195" s="97" t="n"/>
      <c r="AS195" s="97" t="n"/>
      <c r="AT195" s="97" t="n"/>
      <c r="AU195" s="97" t="n"/>
      <c r="AV195" s="97" t="n"/>
      <c r="AW195" s="97" t="n"/>
      <c r="AX195" s="97" t="n"/>
      <c r="AY195" s="97" t="n"/>
      <c r="AZ195" s="97" t="n"/>
      <c r="BA195" s="97" t="n"/>
      <c r="BB195" s="97" t="n"/>
    </row>
    <row r="196" ht="22" customHeight="1" s="110">
      <c r="A196" s="96" t="n"/>
      <c r="B196" s="96" t="n"/>
      <c r="C196" s="96" t="n"/>
      <c r="D196" s="96" t="n"/>
      <c r="E196" s="96" t="n"/>
      <c r="F196" s="96" t="n"/>
      <c r="G196" s="96" t="n"/>
      <c r="H196" s="96" t="n"/>
      <c r="I196" s="96" t="n"/>
      <c r="J196" s="96" t="n"/>
      <c r="L196" s="96" t="n"/>
      <c r="M196" s="96" t="n"/>
      <c r="N196" s="96" t="n"/>
      <c r="O196" s="96" t="n"/>
      <c r="Q196" s="96" t="n"/>
      <c r="R196" s="96" t="n"/>
      <c r="S196" s="96" t="n"/>
      <c r="T196" s="96" t="n"/>
      <c r="U196" s="96" t="n"/>
      <c r="V196" s="96" t="n"/>
      <c r="W196" s="96" t="n"/>
      <c r="X196" s="96" t="n"/>
      <c r="Y196" s="96" t="n"/>
      <c r="Z196" s="96" t="n"/>
      <c r="AA196" s="96" t="n"/>
      <c r="AB196" s="96" t="n"/>
      <c r="AC196" s="96" t="n"/>
      <c r="AD196" s="96" t="n"/>
      <c r="AE196" s="96" t="n"/>
      <c r="AF196" s="96" t="n"/>
      <c r="AG196" s="96" t="n"/>
      <c r="AH196" s="96" t="n"/>
      <c r="AI196" s="96" t="n"/>
      <c r="AJ196" s="96" t="n"/>
      <c r="AK196" s="96" t="n"/>
      <c r="AL196" s="96" t="n"/>
      <c r="AM196" s="96" t="n"/>
      <c r="AN196" s="96" t="n"/>
      <c r="AO196" s="96" t="n"/>
      <c r="AP196" s="96" t="n"/>
      <c r="AQ196" s="96" t="n"/>
      <c r="AR196" s="96" t="n"/>
      <c r="AS196" s="96" t="n"/>
      <c r="AT196" s="96" t="n"/>
      <c r="AU196" s="96" t="n"/>
      <c r="AV196" s="96" t="n"/>
      <c r="AW196" s="96" t="n"/>
      <c r="AX196" s="96" t="n"/>
      <c r="AY196" s="96" t="n"/>
      <c r="AZ196" s="96" t="n"/>
      <c r="BA196" s="96" t="n"/>
      <c r="BB196" s="96" t="n"/>
    </row>
    <row r="197" ht="22" customHeight="1" s="110">
      <c r="A197" s="97" t="n"/>
      <c r="B197" s="97" t="n"/>
      <c r="C197" s="97" t="n"/>
      <c r="D197" s="97" t="n"/>
      <c r="E197" s="97" t="n"/>
      <c r="F197" s="97" t="n"/>
      <c r="G197" s="97" t="n"/>
      <c r="H197" s="97" t="n"/>
      <c r="I197" s="97" t="n"/>
      <c r="J197" s="97" t="n"/>
      <c r="L197" s="97" t="n"/>
      <c r="M197" s="97" t="n"/>
      <c r="N197" s="97" t="n"/>
      <c r="O197" s="97" t="n"/>
      <c r="Q197" s="97" t="n"/>
      <c r="R197" s="97" t="n"/>
      <c r="S197" s="97" t="n"/>
      <c r="T197" s="97" t="n"/>
      <c r="U197" s="97" t="n"/>
      <c r="V197" s="97" t="n"/>
      <c r="W197" s="97" t="n"/>
      <c r="X197" s="97" t="n"/>
      <c r="Y197" s="97" t="n"/>
      <c r="Z197" s="97" t="n"/>
      <c r="AA197" s="97" t="n"/>
      <c r="AB197" s="97" t="n"/>
      <c r="AC197" s="97" t="n"/>
      <c r="AD197" s="97" t="n"/>
      <c r="AE197" s="97" t="n"/>
      <c r="AF197" s="97" t="n"/>
      <c r="AG197" s="97" t="n"/>
      <c r="AH197" s="97" t="n"/>
      <c r="AI197" s="97" t="n"/>
      <c r="AJ197" s="97" t="n"/>
      <c r="AK197" s="97" t="n"/>
      <c r="AL197" s="97" t="n"/>
      <c r="AM197" s="97" t="n"/>
      <c r="AN197" s="97" t="n"/>
      <c r="AO197" s="97" t="n"/>
      <c r="AP197" s="97" t="n"/>
      <c r="AQ197" s="97" t="n"/>
      <c r="AR197" s="97" t="n"/>
      <c r="AS197" s="97" t="n"/>
      <c r="AT197" s="97" t="n"/>
      <c r="AU197" s="97" t="n"/>
      <c r="AV197" s="97" t="n"/>
      <c r="AW197" s="97" t="n"/>
      <c r="AX197" s="97" t="n"/>
      <c r="AY197" s="97" t="n"/>
      <c r="AZ197" s="97" t="n"/>
      <c r="BA197" s="97" t="n"/>
      <c r="BB197" s="97" t="n"/>
    </row>
    <row r="198" ht="22" customHeight="1" s="110">
      <c r="A198" s="96" t="n"/>
      <c r="B198" s="96" t="n"/>
      <c r="C198" s="96" t="n"/>
      <c r="D198" s="96" t="n"/>
      <c r="E198" s="96" t="n"/>
      <c r="F198" s="96" t="n"/>
      <c r="G198" s="96" t="n"/>
      <c r="H198" s="96" t="n"/>
      <c r="I198" s="96" t="n"/>
      <c r="J198" s="96" t="n"/>
      <c r="L198" s="96" t="n"/>
      <c r="M198" s="96" t="n"/>
      <c r="N198" s="96" t="n"/>
      <c r="O198" s="96" t="n"/>
      <c r="Q198" s="96" t="n"/>
      <c r="R198" s="96" t="n"/>
      <c r="S198" s="96" t="n"/>
      <c r="T198" s="96" t="n"/>
      <c r="U198" s="96" t="n"/>
      <c r="V198" s="96" t="n"/>
      <c r="W198" s="96" t="n"/>
      <c r="X198" s="96" t="n"/>
      <c r="Y198" s="96" t="n"/>
      <c r="Z198" s="96" t="n"/>
      <c r="AA198" s="96" t="n"/>
      <c r="AB198" s="96" t="n"/>
      <c r="AC198" s="96" t="n"/>
      <c r="AD198" s="96" t="n"/>
      <c r="AE198" s="96" t="n"/>
      <c r="AF198" s="96" t="n"/>
      <c r="AG198" s="96" t="n"/>
      <c r="AH198" s="96" t="n"/>
      <c r="AI198" s="96" t="n"/>
      <c r="AJ198" s="96" t="n"/>
      <c r="AK198" s="96" t="n"/>
      <c r="AL198" s="96" t="n"/>
      <c r="AM198" s="96" t="n"/>
      <c r="AN198" s="96" t="n"/>
      <c r="AO198" s="96" t="n"/>
      <c r="AP198" s="96" t="n"/>
      <c r="AQ198" s="96" t="n"/>
      <c r="AR198" s="96" t="n"/>
      <c r="AS198" s="96" t="n"/>
      <c r="AT198" s="96" t="n"/>
      <c r="AU198" s="96" t="n"/>
      <c r="AV198" s="96" t="n"/>
      <c r="AW198" s="96" t="n"/>
      <c r="AX198" s="96" t="n"/>
      <c r="AY198" s="96" t="n"/>
      <c r="AZ198" s="96" t="n"/>
      <c r="BA198" s="96" t="n"/>
      <c r="BB198" s="96" t="n"/>
    </row>
    <row r="199" ht="22" customHeight="1" s="110">
      <c r="A199" s="97" t="n"/>
      <c r="B199" s="97" t="n"/>
      <c r="C199" s="97" t="n"/>
      <c r="D199" s="97" t="n"/>
      <c r="E199" s="97" t="n"/>
      <c r="F199" s="97" t="n"/>
      <c r="G199" s="97" t="n"/>
      <c r="H199" s="97" t="n"/>
      <c r="I199" s="97" t="n"/>
      <c r="J199" s="97" t="n"/>
      <c r="L199" s="97" t="n"/>
      <c r="M199" s="97" t="n"/>
      <c r="N199" s="97" t="n"/>
      <c r="O199" s="97" t="n"/>
      <c r="Q199" s="97" t="n"/>
      <c r="R199" s="97" t="n"/>
      <c r="S199" s="97" t="n"/>
      <c r="T199" s="97" t="n"/>
      <c r="U199" s="97" t="n"/>
      <c r="V199" s="97" t="n"/>
      <c r="W199" s="97" t="n"/>
      <c r="X199" s="97" t="n"/>
      <c r="Y199" s="97" t="n"/>
      <c r="Z199" s="97" t="n"/>
      <c r="AA199" s="97" t="n"/>
      <c r="AB199" s="97" t="n"/>
      <c r="AC199" s="97" t="n"/>
      <c r="AD199" s="97" t="n"/>
      <c r="AE199" s="97" t="n"/>
      <c r="AF199" s="97" t="n"/>
      <c r="AG199" s="97" t="n"/>
      <c r="AH199" s="97" t="n"/>
      <c r="AI199" s="97" t="n"/>
      <c r="AJ199" s="97" t="n"/>
      <c r="AK199" s="97" t="n"/>
      <c r="AL199" s="97" t="n"/>
      <c r="AM199" s="97" t="n"/>
      <c r="AN199" s="97" t="n"/>
      <c r="AO199" s="97" t="n"/>
      <c r="AP199" s="97" t="n"/>
      <c r="AQ199" s="97" t="n"/>
      <c r="AR199" s="97" t="n"/>
      <c r="AS199" s="97" t="n"/>
      <c r="AT199" s="97" t="n"/>
      <c r="AU199" s="97" t="n"/>
      <c r="AV199" s="97" t="n"/>
      <c r="AW199" s="97" t="n"/>
      <c r="AX199" s="97" t="n"/>
      <c r="AY199" s="97" t="n"/>
      <c r="AZ199" s="97" t="n"/>
      <c r="BA199" s="97" t="n"/>
      <c r="BB199" s="97" t="n"/>
    </row>
    <row r="200" ht="22" customHeight="1" s="110">
      <c r="A200" s="96" t="n"/>
      <c r="B200" s="96" t="n"/>
      <c r="C200" s="96" t="n"/>
      <c r="D200" s="96" t="n"/>
      <c r="E200" s="96" t="n"/>
      <c r="F200" s="96" t="n"/>
      <c r="G200" s="96" t="n"/>
      <c r="H200" s="96" t="n"/>
      <c r="I200" s="96" t="n"/>
      <c r="J200" s="96" t="n"/>
      <c r="L200" s="96" t="n"/>
      <c r="M200" s="96" t="n"/>
      <c r="N200" s="96" t="n"/>
      <c r="O200" s="96" t="n"/>
      <c r="Q200" s="96" t="n"/>
      <c r="R200" s="96" t="n"/>
      <c r="S200" s="96" t="n"/>
      <c r="T200" s="96" t="n"/>
      <c r="U200" s="96" t="n"/>
      <c r="V200" s="96" t="n"/>
      <c r="W200" s="96" t="n"/>
      <c r="X200" s="96" t="n"/>
      <c r="Y200" s="96" t="n"/>
      <c r="Z200" s="96" t="n"/>
      <c r="AA200" s="96" t="n"/>
      <c r="AB200" s="96" t="n"/>
      <c r="AC200" s="96" t="n"/>
      <c r="AD200" s="96" t="n"/>
      <c r="AE200" s="96" t="n"/>
      <c r="AF200" s="96" t="n"/>
      <c r="AG200" s="96" t="n"/>
      <c r="AH200" s="96" t="n"/>
      <c r="AI200" s="96" t="n"/>
      <c r="AJ200" s="96" t="n"/>
      <c r="AK200" s="96" t="n"/>
      <c r="AL200" s="96" t="n"/>
      <c r="AM200" s="96" t="n"/>
      <c r="AN200" s="96" t="n"/>
      <c r="AO200" s="96" t="n"/>
      <c r="AP200" s="96" t="n"/>
      <c r="AQ200" s="96" t="n"/>
      <c r="AR200" s="96" t="n"/>
      <c r="AS200" s="96" t="n"/>
      <c r="AT200" s="96" t="n"/>
      <c r="AU200" s="96" t="n"/>
      <c r="AV200" s="96" t="n"/>
      <c r="AW200" s="96" t="n"/>
      <c r="AX200" s="96" t="n"/>
      <c r="AY200" s="96" t="n"/>
      <c r="AZ200" s="96" t="n"/>
      <c r="BA200" s="96" t="n"/>
      <c r="BB200" s="96" t="n"/>
    </row>
    <row r="201" ht="22" customHeight="1" s="110">
      <c r="A201" s="97" t="n"/>
      <c r="B201" s="97" t="n"/>
      <c r="C201" s="97" t="n"/>
      <c r="D201" s="97" t="n"/>
      <c r="E201" s="97" t="n"/>
      <c r="F201" s="97" t="n"/>
      <c r="G201" s="97" t="n"/>
      <c r="H201" s="97" t="n"/>
      <c r="I201" s="97" t="n"/>
      <c r="J201" s="97" t="n"/>
      <c r="L201" s="97" t="n"/>
      <c r="M201" s="97" t="n"/>
      <c r="N201" s="97" t="n"/>
      <c r="O201" s="97" t="n"/>
      <c r="Q201" s="97" t="n"/>
      <c r="R201" s="97" t="n"/>
      <c r="S201" s="97" t="n"/>
      <c r="T201" s="97" t="n"/>
      <c r="U201" s="97" t="n"/>
      <c r="V201" s="97" t="n"/>
      <c r="W201" s="97" t="n"/>
      <c r="X201" s="97" t="n"/>
      <c r="Y201" s="97" t="n"/>
      <c r="Z201" s="97" t="n"/>
      <c r="AA201" s="97" t="n"/>
      <c r="AB201" s="97" t="n"/>
      <c r="AC201" s="97" t="n"/>
      <c r="AD201" s="97" t="n"/>
      <c r="AE201" s="97" t="n"/>
      <c r="AF201" s="97" t="n"/>
      <c r="AG201" s="97" t="n"/>
      <c r="AH201" s="97" t="n"/>
      <c r="AI201" s="97" t="n"/>
      <c r="AJ201" s="97" t="n"/>
      <c r="AK201" s="97" t="n"/>
      <c r="AL201" s="97" t="n"/>
      <c r="AM201" s="97" t="n"/>
      <c r="AN201" s="97" t="n"/>
      <c r="AO201" s="97" t="n"/>
      <c r="AP201" s="97" t="n"/>
      <c r="AQ201" s="97" t="n"/>
      <c r="AR201" s="97" t="n"/>
      <c r="AS201" s="97" t="n"/>
      <c r="AT201" s="97" t="n"/>
      <c r="AU201" s="97" t="n"/>
      <c r="AV201" s="97" t="n"/>
      <c r="AW201" s="97" t="n"/>
      <c r="AX201" s="97" t="n"/>
      <c r="AY201" s="97" t="n"/>
      <c r="AZ201" s="97" t="n"/>
      <c r="BA201" s="97" t="n"/>
      <c r="BB201" s="97" t="n"/>
    </row>
    <row r="202" ht="22" customHeight="1" s="110">
      <c r="A202" s="96" t="n"/>
      <c r="B202" s="96" t="n"/>
      <c r="C202" s="96" t="n"/>
      <c r="D202" s="96" t="n"/>
      <c r="E202" s="96" t="n"/>
      <c r="F202" s="96" t="n"/>
      <c r="G202" s="96" t="n"/>
      <c r="H202" s="96" t="n"/>
      <c r="I202" s="96" t="n"/>
      <c r="J202" s="96" t="n"/>
      <c r="L202" s="96" t="n"/>
      <c r="M202" s="96" t="n"/>
      <c r="N202" s="96" t="n"/>
      <c r="O202" s="96" t="n"/>
      <c r="Q202" s="96" t="n"/>
      <c r="R202" s="96" t="n"/>
      <c r="S202" s="96" t="n"/>
      <c r="T202" s="96" t="n"/>
      <c r="U202" s="96" t="n"/>
      <c r="V202" s="96" t="n"/>
      <c r="W202" s="96" t="n"/>
      <c r="X202" s="96" t="n"/>
      <c r="Y202" s="96" t="n"/>
      <c r="Z202" s="96" t="n"/>
      <c r="AA202" s="96" t="n"/>
      <c r="AB202" s="96" t="n"/>
      <c r="AC202" s="96" t="n"/>
      <c r="AD202" s="96" t="n"/>
      <c r="AE202" s="96" t="n"/>
      <c r="AF202" s="96" t="n"/>
      <c r="AG202" s="96" t="n"/>
      <c r="AH202" s="96" t="n"/>
      <c r="AI202" s="96" t="n"/>
      <c r="AJ202" s="96" t="n"/>
      <c r="AK202" s="96" t="n"/>
      <c r="AL202" s="96" t="n"/>
      <c r="AM202" s="96" t="n"/>
      <c r="AN202" s="96" t="n"/>
      <c r="AO202" s="96" t="n"/>
      <c r="AP202" s="96" t="n"/>
      <c r="AQ202" s="96" t="n"/>
      <c r="AR202" s="96" t="n"/>
      <c r="AS202" s="96" t="n"/>
      <c r="AT202" s="96" t="n"/>
      <c r="AU202" s="96" t="n"/>
      <c r="AV202" s="96" t="n"/>
      <c r="AW202" s="96" t="n"/>
      <c r="AX202" s="96" t="n"/>
      <c r="AY202" s="96" t="n"/>
      <c r="AZ202" s="96" t="n"/>
      <c r="BA202" s="96" t="n"/>
      <c r="BB202" s="96" t="n"/>
    </row>
    <row r="203" ht="22" customHeight="1" s="110">
      <c r="A203" s="97" t="n"/>
      <c r="B203" s="97" t="n"/>
      <c r="C203" s="97" t="n"/>
      <c r="D203" s="97" t="n"/>
      <c r="E203" s="97" t="n"/>
      <c r="F203" s="97" t="n"/>
      <c r="G203" s="97" t="n"/>
      <c r="H203" s="97" t="n"/>
      <c r="I203" s="97" t="n"/>
      <c r="J203" s="97" t="n"/>
      <c r="L203" s="97" t="n"/>
      <c r="M203" s="97" t="n"/>
      <c r="N203" s="97" t="n"/>
      <c r="O203" s="97" t="n"/>
      <c r="Q203" s="97" t="n"/>
      <c r="R203" s="97" t="n"/>
      <c r="S203" s="97" t="n"/>
      <c r="T203" s="97" t="n"/>
      <c r="U203" s="97" t="n"/>
      <c r="V203" s="97" t="n"/>
      <c r="W203" s="97" t="n"/>
      <c r="X203" s="97" t="n"/>
      <c r="Y203" s="97" t="n"/>
      <c r="Z203" s="97" t="n"/>
      <c r="AA203" s="97" t="n"/>
      <c r="AB203" s="97" t="n"/>
      <c r="AC203" s="97" t="n"/>
      <c r="AD203" s="97" t="n"/>
      <c r="AE203" s="97" t="n"/>
      <c r="AF203" s="97" t="n"/>
      <c r="AG203" s="97" t="n"/>
      <c r="AH203" s="97" t="n"/>
      <c r="AI203" s="97" t="n"/>
      <c r="AJ203" s="97" t="n"/>
      <c r="AK203" s="97" t="n"/>
      <c r="AL203" s="97" t="n"/>
      <c r="AM203" s="97" t="n"/>
      <c r="AN203" s="97" t="n"/>
      <c r="AO203" s="97" t="n"/>
      <c r="AP203" s="97" t="n"/>
      <c r="AQ203" s="97" t="n"/>
      <c r="AR203" s="97" t="n"/>
      <c r="AS203" s="97" t="n"/>
      <c r="AT203" s="97" t="n"/>
      <c r="AU203" s="97" t="n"/>
      <c r="AV203" s="97" t="n"/>
      <c r="AW203" s="97" t="n"/>
      <c r="AX203" s="97" t="n"/>
      <c r="AY203" s="97" t="n"/>
      <c r="AZ203" s="97" t="n"/>
      <c r="BA203" s="97" t="n"/>
      <c r="BB203" s="97" t="n"/>
    </row>
    <row r="204" ht="22" customHeight="1" s="110">
      <c r="A204" s="96" t="n"/>
      <c r="B204" s="96" t="n"/>
      <c r="C204" s="96" t="n"/>
      <c r="D204" s="96" t="n"/>
      <c r="E204" s="96" t="n"/>
      <c r="F204" s="96" t="n"/>
      <c r="G204" s="96" t="n"/>
      <c r="H204" s="96" t="n"/>
      <c r="I204" s="96" t="n"/>
      <c r="J204" s="96" t="n"/>
      <c r="L204" s="96" t="n"/>
      <c r="M204" s="96" t="n"/>
      <c r="N204" s="96" t="n"/>
      <c r="O204" s="96" t="n"/>
      <c r="Q204" s="96" t="n"/>
      <c r="R204" s="96" t="n"/>
      <c r="S204" s="96" t="n"/>
      <c r="T204" s="96" t="n"/>
      <c r="U204" s="96" t="n"/>
      <c r="V204" s="96" t="n"/>
      <c r="W204" s="96" t="n"/>
      <c r="X204" s="96" t="n"/>
      <c r="Y204" s="96" t="n"/>
      <c r="Z204" s="96" t="n"/>
      <c r="AA204" s="96" t="n"/>
      <c r="AB204" s="96" t="n"/>
      <c r="AC204" s="96" t="n"/>
      <c r="AD204" s="96" t="n"/>
      <c r="AE204" s="96" t="n"/>
      <c r="AF204" s="96" t="n"/>
      <c r="AG204" s="96" t="n"/>
      <c r="AH204" s="96" t="n"/>
      <c r="AI204" s="96" t="n"/>
      <c r="AJ204" s="96" t="n"/>
      <c r="AK204" s="96" t="n"/>
      <c r="AL204" s="96" t="n"/>
      <c r="AM204" s="96" t="n"/>
      <c r="AN204" s="96" t="n"/>
      <c r="AO204" s="96" t="n"/>
      <c r="AP204" s="96" t="n"/>
      <c r="AQ204" s="96" t="n"/>
      <c r="AR204" s="96" t="n"/>
      <c r="AS204" s="96" t="n"/>
      <c r="AT204" s="96" t="n"/>
      <c r="AU204" s="96" t="n"/>
      <c r="AV204" s="96" t="n"/>
      <c r="AW204" s="96" t="n"/>
      <c r="AX204" s="96" t="n"/>
      <c r="AY204" s="96" t="n"/>
      <c r="AZ204" s="96" t="n"/>
      <c r="BA204" s="96" t="n"/>
      <c r="BB204" s="96" t="n"/>
    </row>
    <row r="205" ht="22" customHeight="1" s="110">
      <c r="A205" s="97" t="n"/>
      <c r="B205" s="97" t="n"/>
      <c r="C205" s="97" t="n"/>
      <c r="D205" s="97" t="n"/>
      <c r="E205" s="97" t="n"/>
      <c r="F205" s="97" t="n"/>
      <c r="G205" s="97" t="n"/>
      <c r="H205" s="97" t="n"/>
      <c r="I205" s="97" t="n"/>
      <c r="J205" s="97" t="n"/>
      <c r="L205" s="97" t="n"/>
      <c r="M205" s="97" t="n"/>
      <c r="N205" s="97" t="n"/>
      <c r="O205" s="97" t="n"/>
      <c r="Q205" s="97" t="n"/>
      <c r="R205" s="97" t="n"/>
      <c r="S205" s="97" t="n"/>
      <c r="T205" s="97" t="n"/>
      <c r="U205" s="97" t="n"/>
      <c r="V205" s="97" t="n"/>
      <c r="W205" s="97" t="n"/>
      <c r="X205" s="97" t="n"/>
      <c r="Y205" s="97" t="n"/>
      <c r="Z205" s="97" t="n"/>
      <c r="AA205" s="97" t="n"/>
      <c r="AB205" s="97" t="n"/>
      <c r="AC205" s="97" t="n"/>
      <c r="AD205" s="97" t="n"/>
      <c r="AE205" s="97" t="n"/>
      <c r="AF205" s="97" t="n"/>
      <c r="AG205" s="97" t="n"/>
      <c r="AH205" s="97" t="n"/>
      <c r="AI205" s="97" t="n"/>
      <c r="AJ205" s="97" t="n"/>
      <c r="AK205" s="97" t="n"/>
      <c r="AL205" s="97" t="n"/>
      <c r="AM205" s="97" t="n"/>
      <c r="AN205" s="97" t="n"/>
      <c r="AO205" s="97" t="n"/>
      <c r="AP205" s="97" t="n"/>
      <c r="AQ205" s="97" t="n"/>
      <c r="AR205" s="97" t="n"/>
      <c r="AS205" s="97" t="n"/>
      <c r="AT205" s="97" t="n"/>
      <c r="AU205" s="97" t="n"/>
      <c r="AV205" s="97" t="n"/>
      <c r="AW205" s="97" t="n"/>
      <c r="AX205" s="97" t="n"/>
      <c r="AY205" s="97" t="n"/>
      <c r="AZ205" s="97" t="n"/>
      <c r="BA205" s="97" t="n"/>
      <c r="BB205" s="97" t="n"/>
    </row>
    <row r="206" ht="22" customHeight="1" s="110">
      <c r="A206" s="96" t="n"/>
      <c r="B206" s="96" t="n"/>
      <c r="C206" s="96" t="n"/>
      <c r="D206" s="96" t="n"/>
      <c r="E206" s="96" t="n"/>
      <c r="F206" s="96" t="n"/>
      <c r="G206" s="96" t="n"/>
      <c r="H206" s="96" t="n"/>
      <c r="I206" s="96" t="n"/>
      <c r="J206" s="96" t="n"/>
      <c r="L206" s="96" t="n"/>
      <c r="M206" s="96" t="n"/>
      <c r="N206" s="96" t="n"/>
      <c r="O206" s="96" t="n"/>
      <c r="Q206" s="96" t="n"/>
      <c r="R206" s="96" t="n"/>
      <c r="S206" s="96" t="n"/>
      <c r="T206" s="96" t="n"/>
      <c r="U206" s="96" t="n"/>
      <c r="V206" s="96" t="n"/>
      <c r="W206" s="96" t="n"/>
      <c r="X206" s="96" t="n"/>
      <c r="Y206" s="96" t="n"/>
      <c r="Z206" s="96" t="n"/>
      <c r="AA206" s="96" t="n"/>
      <c r="AB206" s="96" t="n"/>
      <c r="AC206" s="96" t="n"/>
      <c r="AD206" s="96" t="n"/>
      <c r="AE206" s="96" t="n"/>
      <c r="AF206" s="96" t="n"/>
      <c r="AG206" s="96" t="n"/>
      <c r="AH206" s="96" t="n"/>
      <c r="AI206" s="96" t="n"/>
      <c r="AJ206" s="96" t="n"/>
      <c r="AK206" s="96" t="n"/>
      <c r="AL206" s="96" t="n"/>
      <c r="AM206" s="96" t="n"/>
      <c r="AN206" s="96" t="n"/>
      <c r="AO206" s="96" t="n"/>
      <c r="AP206" s="96" t="n"/>
      <c r="AQ206" s="96" t="n"/>
      <c r="AR206" s="96" t="n"/>
      <c r="AS206" s="96" t="n"/>
      <c r="AT206" s="96" t="n"/>
      <c r="AU206" s="96" t="n"/>
      <c r="AV206" s="96" t="n"/>
      <c r="AW206" s="96" t="n"/>
      <c r="AX206" s="96" t="n"/>
      <c r="AY206" s="96" t="n"/>
      <c r="AZ206" s="96" t="n"/>
      <c r="BA206" s="96" t="n"/>
      <c r="BB206" s="96" t="n"/>
    </row>
    <row r="207" ht="22" customHeight="1" s="110">
      <c r="A207" s="97" t="n"/>
      <c r="B207" s="97" t="n"/>
      <c r="C207" s="97" t="n"/>
      <c r="D207" s="97" t="n"/>
      <c r="E207" s="97" t="n"/>
      <c r="F207" s="97" t="n"/>
      <c r="G207" s="97" t="n"/>
      <c r="H207" s="97" t="n"/>
      <c r="I207" s="97" t="n"/>
      <c r="J207" s="97" t="n"/>
      <c r="L207" s="97" t="n"/>
      <c r="M207" s="97" t="n"/>
      <c r="N207" s="97" t="n"/>
      <c r="O207" s="97" t="n"/>
      <c r="Q207" s="97" t="n"/>
      <c r="R207" s="97" t="n"/>
      <c r="S207" s="97" t="n"/>
      <c r="T207" s="97" t="n"/>
      <c r="U207" s="97" t="n"/>
      <c r="V207" s="97" t="n"/>
      <c r="W207" s="97" t="n"/>
      <c r="X207" s="97" t="n"/>
      <c r="Y207" s="97" t="n"/>
      <c r="Z207" s="97" t="n"/>
      <c r="AA207" s="97" t="n"/>
      <c r="AB207" s="97" t="n"/>
      <c r="AC207" s="97" t="n"/>
      <c r="AD207" s="97" t="n"/>
      <c r="AE207" s="97" t="n"/>
      <c r="AF207" s="97" t="n"/>
      <c r="AG207" s="97" t="n"/>
      <c r="AH207" s="97" t="n"/>
      <c r="AI207" s="97" t="n"/>
      <c r="AJ207" s="97" t="n"/>
      <c r="AK207" s="97" t="n"/>
      <c r="AL207" s="97" t="n"/>
      <c r="AM207" s="97" t="n"/>
      <c r="AN207" s="97" t="n"/>
      <c r="AO207" s="97" t="n"/>
      <c r="AP207" s="97" t="n"/>
      <c r="AQ207" s="97" t="n"/>
      <c r="AR207" s="97" t="n"/>
      <c r="AS207" s="97" t="n"/>
      <c r="AT207" s="97" t="n"/>
      <c r="AU207" s="97" t="n"/>
      <c r="AV207" s="97" t="n"/>
      <c r="AW207" s="97" t="n"/>
      <c r="AX207" s="97" t="n"/>
      <c r="AY207" s="97" t="n"/>
      <c r="AZ207" s="97" t="n"/>
      <c r="BA207" s="97" t="n"/>
      <c r="BB207" s="97" t="n"/>
    </row>
    <row r="208" ht="22" customHeight="1" s="110">
      <c r="A208" s="96" t="n"/>
      <c r="B208" s="96" t="n"/>
      <c r="C208" s="96" t="n"/>
      <c r="D208" s="96" t="n"/>
      <c r="E208" s="96" t="n"/>
      <c r="F208" s="96" t="n"/>
      <c r="G208" s="96" t="n"/>
      <c r="H208" s="96" t="n"/>
      <c r="I208" s="96" t="n"/>
      <c r="J208" s="96" t="n"/>
      <c r="L208" s="96" t="n"/>
      <c r="M208" s="96" t="n"/>
      <c r="N208" s="96" t="n"/>
      <c r="O208" s="96" t="n"/>
      <c r="Q208" s="96" t="n"/>
      <c r="R208" s="96" t="n"/>
      <c r="S208" s="96" t="n"/>
      <c r="T208" s="96" t="n"/>
      <c r="U208" s="96" t="n"/>
      <c r="V208" s="96" t="n"/>
      <c r="W208" s="96" t="n"/>
      <c r="X208" s="96" t="n"/>
      <c r="Y208" s="96" t="n"/>
      <c r="Z208" s="96" t="n"/>
      <c r="AA208" s="96" t="n"/>
      <c r="AB208" s="96" t="n"/>
      <c r="AC208" s="96" t="n"/>
      <c r="AD208" s="96" t="n"/>
      <c r="AE208" s="96" t="n"/>
      <c r="AF208" s="96" t="n"/>
      <c r="AG208" s="96" t="n"/>
      <c r="AH208" s="96" t="n"/>
      <c r="AI208" s="96" t="n"/>
      <c r="AJ208" s="96" t="n"/>
      <c r="AK208" s="96" t="n"/>
      <c r="AL208" s="96" t="n"/>
      <c r="AM208" s="96" t="n"/>
      <c r="AN208" s="96" t="n"/>
      <c r="AO208" s="96" t="n"/>
      <c r="AP208" s="96" t="n"/>
      <c r="AQ208" s="96" t="n"/>
      <c r="AR208" s="96" t="n"/>
      <c r="AS208" s="96" t="n"/>
      <c r="AT208" s="96" t="n"/>
      <c r="AU208" s="96" t="n"/>
      <c r="AV208" s="96" t="n"/>
      <c r="AW208" s="96" t="n"/>
      <c r="AX208" s="96" t="n"/>
      <c r="AY208" s="96" t="n"/>
      <c r="AZ208" s="96" t="n"/>
      <c r="BA208" s="96" t="n"/>
      <c r="BB208" s="96" t="n"/>
    </row>
    <row r="209" ht="22" customHeight="1" s="110">
      <c r="A209" s="97" t="n"/>
      <c r="B209" s="97" t="n"/>
      <c r="C209" s="97" t="n"/>
      <c r="D209" s="97" t="n"/>
      <c r="E209" s="97" t="n"/>
      <c r="F209" s="97" t="n"/>
      <c r="G209" s="97" t="n"/>
      <c r="H209" s="97" t="n"/>
      <c r="I209" s="97" t="n"/>
      <c r="J209" s="97" t="n"/>
      <c r="L209" s="97" t="n"/>
      <c r="M209" s="97" t="n"/>
      <c r="N209" s="97" t="n"/>
      <c r="O209" s="97" t="n"/>
      <c r="Q209" s="97" t="n"/>
      <c r="R209" s="97" t="n"/>
      <c r="S209" s="97" t="n"/>
      <c r="T209" s="97" t="n"/>
      <c r="U209" s="97" t="n"/>
      <c r="V209" s="97" t="n"/>
      <c r="W209" s="97" t="n"/>
      <c r="X209" s="97" t="n"/>
      <c r="Y209" s="97" t="n"/>
      <c r="Z209" s="97" t="n"/>
      <c r="AA209" s="97" t="n"/>
      <c r="AB209" s="97" t="n"/>
      <c r="AC209" s="97" t="n"/>
      <c r="AD209" s="97" t="n"/>
      <c r="AE209" s="97" t="n"/>
      <c r="AF209" s="97" t="n"/>
      <c r="AG209" s="97" t="n"/>
      <c r="AH209" s="97" t="n"/>
      <c r="AI209" s="97" t="n"/>
      <c r="AJ209" s="97" t="n"/>
      <c r="AK209" s="97" t="n"/>
      <c r="AL209" s="97" t="n"/>
      <c r="AM209" s="97" t="n"/>
      <c r="AN209" s="97" t="n"/>
      <c r="AO209" s="97" t="n"/>
      <c r="AP209" s="97" t="n"/>
      <c r="AQ209" s="97" t="n"/>
      <c r="AR209" s="97" t="n"/>
      <c r="AS209" s="97" t="n"/>
      <c r="AT209" s="97" t="n"/>
      <c r="AU209" s="97" t="n"/>
      <c r="AV209" s="97" t="n"/>
      <c r="AW209" s="97" t="n"/>
      <c r="AX209" s="97" t="n"/>
      <c r="AY209" s="97" t="n"/>
      <c r="AZ209" s="97" t="n"/>
      <c r="BA209" s="97" t="n"/>
      <c r="BB209" s="97" t="n"/>
    </row>
    <row r="210" ht="22" customHeight="1" s="110">
      <c r="A210" s="96" t="n"/>
      <c r="B210" s="96" t="n"/>
      <c r="C210" s="96" t="n"/>
      <c r="D210" s="96" t="n"/>
      <c r="E210" s="96" t="n"/>
      <c r="F210" s="96" t="n"/>
      <c r="G210" s="96" t="n"/>
      <c r="H210" s="96" t="n"/>
      <c r="I210" s="96" t="n"/>
      <c r="J210" s="96" t="n"/>
      <c r="L210" s="96" t="n"/>
      <c r="M210" s="96" t="n"/>
      <c r="N210" s="96" t="n"/>
      <c r="O210" s="96" t="n"/>
      <c r="Q210" s="96" t="n"/>
      <c r="R210" s="96" t="n"/>
      <c r="S210" s="96" t="n"/>
      <c r="T210" s="96" t="n"/>
      <c r="U210" s="96" t="n"/>
      <c r="V210" s="96" t="n"/>
      <c r="W210" s="96" t="n"/>
      <c r="X210" s="96" t="n"/>
      <c r="Y210" s="96" t="n"/>
      <c r="Z210" s="96" t="n"/>
      <c r="AA210" s="96" t="n"/>
      <c r="AB210" s="96" t="n"/>
      <c r="AC210" s="96" t="n"/>
      <c r="AD210" s="96" t="n"/>
      <c r="AE210" s="96" t="n"/>
      <c r="AF210" s="96" t="n"/>
      <c r="AG210" s="96" t="n"/>
      <c r="AH210" s="96" t="n"/>
      <c r="AI210" s="96" t="n"/>
      <c r="AJ210" s="96" t="n"/>
      <c r="AK210" s="96" t="n"/>
      <c r="AL210" s="96" t="n"/>
      <c r="AM210" s="96" t="n"/>
      <c r="AN210" s="96" t="n"/>
      <c r="AO210" s="96" t="n"/>
      <c r="AP210" s="96" t="n"/>
      <c r="AQ210" s="96" t="n"/>
      <c r="AR210" s="96" t="n"/>
      <c r="AS210" s="96" t="n"/>
      <c r="AT210" s="96" t="n"/>
      <c r="AU210" s="96" t="n"/>
      <c r="AV210" s="96" t="n"/>
      <c r="AW210" s="96" t="n"/>
      <c r="AX210" s="96" t="n"/>
      <c r="AY210" s="96" t="n"/>
      <c r="AZ210" s="96" t="n"/>
      <c r="BA210" s="96" t="n"/>
      <c r="BB210" s="96" t="n"/>
    </row>
    <row r="211" ht="22" customHeight="1" s="110">
      <c r="A211" s="97" t="n"/>
      <c r="B211" s="97" t="n"/>
      <c r="C211" s="97" t="n"/>
      <c r="D211" s="97" t="n"/>
      <c r="E211" s="97" t="n"/>
      <c r="F211" s="97" t="n"/>
      <c r="G211" s="97" t="n"/>
      <c r="H211" s="97" t="n"/>
      <c r="I211" s="97" t="n"/>
      <c r="J211" s="97" t="n"/>
      <c r="L211" s="97" t="n"/>
      <c r="M211" s="97" t="n"/>
      <c r="N211" s="97" t="n"/>
      <c r="O211" s="97" t="n"/>
      <c r="Q211" s="97" t="n"/>
      <c r="R211" s="97" t="n"/>
      <c r="S211" s="97" t="n"/>
      <c r="T211" s="97" t="n"/>
      <c r="U211" s="97" t="n"/>
      <c r="V211" s="97" t="n"/>
      <c r="W211" s="97" t="n"/>
      <c r="X211" s="97" t="n"/>
      <c r="Y211" s="97" t="n"/>
      <c r="Z211" s="97" t="n"/>
      <c r="AA211" s="97" t="n"/>
      <c r="AB211" s="97" t="n"/>
      <c r="AC211" s="97" t="n"/>
      <c r="AD211" s="97" t="n"/>
      <c r="AE211" s="97" t="n"/>
      <c r="AF211" s="97" t="n"/>
      <c r="AG211" s="97" t="n"/>
      <c r="AH211" s="97" t="n"/>
      <c r="AI211" s="97" t="n"/>
      <c r="AJ211" s="97" t="n"/>
      <c r="AK211" s="97" t="n"/>
      <c r="AL211" s="97" t="n"/>
      <c r="AM211" s="97" t="n"/>
      <c r="AN211" s="97" t="n"/>
      <c r="AO211" s="97" t="n"/>
      <c r="AP211" s="97" t="n"/>
      <c r="AQ211" s="97" t="n"/>
      <c r="AR211" s="97" t="n"/>
      <c r="AS211" s="97" t="n"/>
      <c r="AT211" s="97" t="n"/>
      <c r="AU211" s="97" t="n"/>
      <c r="AV211" s="97" t="n"/>
      <c r="AW211" s="97" t="n"/>
      <c r="AX211" s="97" t="n"/>
      <c r="AY211" s="97" t="n"/>
      <c r="AZ211" s="97" t="n"/>
      <c r="BA211" s="97" t="n"/>
      <c r="BB211" s="97" t="n"/>
    </row>
    <row r="212" ht="22" customHeight="1" s="110">
      <c r="A212" s="96" t="n"/>
      <c r="B212" s="96" t="n"/>
      <c r="C212" s="96" t="n"/>
      <c r="D212" s="96" t="n"/>
      <c r="E212" s="96" t="n"/>
      <c r="F212" s="96" t="n"/>
      <c r="G212" s="96" t="n"/>
      <c r="H212" s="96" t="n"/>
      <c r="I212" s="96" t="n"/>
      <c r="J212" s="96" t="n"/>
      <c r="L212" s="96" t="n"/>
      <c r="M212" s="96" t="n"/>
      <c r="N212" s="96" t="n"/>
      <c r="O212" s="96" t="n"/>
      <c r="Q212" s="96" t="n"/>
      <c r="R212" s="96" t="n"/>
      <c r="S212" s="96" t="n"/>
      <c r="T212" s="96" t="n"/>
      <c r="U212" s="96" t="n"/>
      <c r="V212" s="96" t="n"/>
      <c r="W212" s="96" t="n"/>
      <c r="X212" s="96" t="n"/>
      <c r="Y212" s="96" t="n"/>
      <c r="Z212" s="96" t="n"/>
      <c r="AA212" s="96" t="n"/>
      <c r="AB212" s="96" t="n"/>
      <c r="AC212" s="96" t="n"/>
      <c r="AD212" s="96" t="n"/>
      <c r="AE212" s="96" t="n"/>
      <c r="AF212" s="96" t="n"/>
      <c r="AG212" s="96" t="n"/>
      <c r="AH212" s="96" t="n"/>
      <c r="AI212" s="96" t="n"/>
      <c r="AJ212" s="96" t="n"/>
      <c r="AK212" s="96" t="n"/>
      <c r="AL212" s="96" t="n"/>
      <c r="AM212" s="96" t="n"/>
      <c r="AN212" s="96" t="n"/>
      <c r="AO212" s="96" t="n"/>
      <c r="AP212" s="96" t="n"/>
      <c r="AQ212" s="96" t="n"/>
      <c r="AR212" s="96" t="n"/>
      <c r="AS212" s="96" t="n"/>
      <c r="AT212" s="96" t="n"/>
      <c r="AU212" s="96" t="n"/>
      <c r="AV212" s="96" t="n"/>
      <c r="AW212" s="96" t="n"/>
      <c r="AX212" s="96" t="n"/>
      <c r="AY212" s="96" t="n"/>
      <c r="AZ212" s="96" t="n"/>
      <c r="BA212" s="96" t="n"/>
      <c r="BB212" s="96" t="n"/>
    </row>
    <row r="213" ht="22" customHeight="1" s="110">
      <c r="A213" s="97" t="n"/>
      <c r="B213" s="97" t="n"/>
      <c r="C213" s="97" t="n"/>
      <c r="D213" s="97" t="n"/>
      <c r="E213" s="97" t="n"/>
      <c r="F213" s="97" t="n"/>
      <c r="G213" s="97" t="n"/>
      <c r="H213" s="97" t="n"/>
      <c r="I213" s="97" t="n"/>
      <c r="J213" s="97" t="n"/>
      <c r="L213" s="97" t="n"/>
      <c r="M213" s="97" t="n"/>
      <c r="N213" s="97" t="n"/>
      <c r="O213" s="97" t="n"/>
      <c r="Q213" s="97" t="n"/>
      <c r="R213" s="97" t="n"/>
      <c r="S213" s="97" t="n"/>
      <c r="T213" s="97" t="n"/>
      <c r="U213" s="97" t="n"/>
      <c r="V213" s="97" t="n"/>
      <c r="W213" s="97" t="n"/>
      <c r="X213" s="97" t="n"/>
      <c r="Y213" s="97" t="n"/>
      <c r="Z213" s="97" t="n"/>
      <c r="AA213" s="97" t="n"/>
      <c r="AB213" s="97" t="n"/>
      <c r="AC213" s="97" t="n"/>
      <c r="AD213" s="97" t="n"/>
      <c r="AE213" s="97" t="n"/>
      <c r="AF213" s="97" t="n"/>
      <c r="AG213" s="97" t="n"/>
      <c r="AH213" s="97" t="n"/>
      <c r="AI213" s="97" t="n"/>
      <c r="AJ213" s="97" t="n"/>
      <c r="AK213" s="97" t="n"/>
      <c r="AL213" s="97" t="n"/>
      <c r="AM213" s="97" t="n"/>
      <c r="AN213" s="97" t="n"/>
      <c r="AO213" s="97" t="n"/>
      <c r="AP213" s="97" t="n"/>
      <c r="AQ213" s="97" t="n"/>
      <c r="AR213" s="97" t="n"/>
      <c r="AS213" s="97" t="n"/>
      <c r="AT213" s="97" t="n"/>
      <c r="AU213" s="97" t="n"/>
      <c r="AV213" s="97" t="n"/>
      <c r="AW213" s="97" t="n"/>
      <c r="AX213" s="97" t="n"/>
      <c r="AY213" s="97" t="n"/>
      <c r="AZ213" s="97" t="n"/>
      <c r="BA213" s="97" t="n"/>
      <c r="BB213" s="97" t="n"/>
    </row>
    <row r="214" ht="22" customHeight="1" s="110">
      <c r="A214" s="96" t="n"/>
      <c r="B214" s="96" t="n"/>
      <c r="C214" s="96" t="n"/>
      <c r="D214" s="96" t="n"/>
      <c r="E214" s="96" t="n"/>
      <c r="F214" s="96" t="n"/>
      <c r="G214" s="96" t="n"/>
      <c r="H214" s="96" t="n"/>
      <c r="I214" s="96" t="n"/>
      <c r="J214" s="96" t="n"/>
      <c r="L214" s="96" t="n"/>
      <c r="M214" s="96" t="n"/>
      <c r="N214" s="96" t="n"/>
      <c r="O214" s="96" t="n"/>
      <c r="Q214" s="96" t="n"/>
      <c r="R214" s="96" t="n"/>
      <c r="S214" s="96" t="n"/>
      <c r="T214" s="96" t="n"/>
      <c r="U214" s="96" t="n"/>
      <c r="V214" s="96" t="n"/>
      <c r="W214" s="96" t="n"/>
      <c r="X214" s="96" t="n"/>
      <c r="Y214" s="96" t="n"/>
      <c r="Z214" s="96" t="n"/>
      <c r="AA214" s="96" t="n"/>
      <c r="AB214" s="96" t="n"/>
      <c r="AC214" s="96" t="n"/>
      <c r="AD214" s="96" t="n"/>
      <c r="AE214" s="96" t="n"/>
      <c r="AF214" s="96" t="n"/>
      <c r="AG214" s="96" t="n"/>
      <c r="AH214" s="96" t="n"/>
      <c r="AI214" s="96" t="n"/>
      <c r="AJ214" s="96" t="n"/>
      <c r="AK214" s="96" t="n"/>
      <c r="AL214" s="96" t="n"/>
      <c r="AM214" s="96" t="n"/>
      <c r="AN214" s="96" t="n"/>
      <c r="AO214" s="96" t="n"/>
      <c r="AP214" s="96" t="n"/>
      <c r="AQ214" s="96" t="n"/>
      <c r="AR214" s="96" t="n"/>
      <c r="AS214" s="96" t="n"/>
      <c r="AT214" s="96" t="n"/>
      <c r="AU214" s="96" t="n"/>
      <c r="AV214" s="96" t="n"/>
      <c r="AW214" s="96" t="n"/>
      <c r="AX214" s="96" t="n"/>
      <c r="AY214" s="96" t="n"/>
      <c r="AZ214" s="96" t="n"/>
      <c r="BA214" s="96" t="n"/>
      <c r="BB214" s="96" t="n"/>
    </row>
    <row r="215" ht="22" customHeight="1" s="110">
      <c r="A215" s="97" t="n"/>
      <c r="B215" s="97" t="n"/>
      <c r="C215" s="97" t="n"/>
      <c r="D215" s="97" t="n"/>
      <c r="E215" s="97" t="n"/>
      <c r="F215" s="97" t="n"/>
      <c r="G215" s="97" t="n"/>
      <c r="H215" s="97" t="n"/>
      <c r="I215" s="97" t="n"/>
      <c r="J215" s="97" t="n"/>
      <c r="L215" s="97" t="n"/>
      <c r="M215" s="97" t="n"/>
      <c r="N215" s="97" t="n"/>
      <c r="O215" s="97" t="n"/>
      <c r="Q215" s="97" t="n"/>
      <c r="R215" s="97" t="n"/>
      <c r="S215" s="97" t="n"/>
      <c r="T215" s="97" t="n"/>
      <c r="U215" s="97" t="n"/>
      <c r="V215" s="97" t="n"/>
      <c r="W215" s="97" t="n"/>
      <c r="X215" s="97" t="n"/>
      <c r="Y215" s="97" t="n"/>
      <c r="Z215" s="97" t="n"/>
      <c r="AA215" s="97" t="n"/>
      <c r="AB215" s="97" t="n"/>
      <c r="AC215" s="97" t="n"/>
      <c r="AD215" s="97" t="n"/>
      <c r="AE215" s="97" t="n"/>
      <c r="AF215" s="97" t="n"/>
      <c r="AG215" s="97" t="n"/>
      <c r="AH215" s="97" t="n"/>
      <c r="AI215" s="97" t="n"/>
      <c r="AJ215" s="97" t="n"/>
      <c r="AK215" s="97" t="n"/>
      <c r="AL215" s="97" t="n"/>
      <c r="AM215" s="97" t="n"/>
      <c r="AN215" s="97" t="n"/>
      <c r="AO215" s="97" t="n"/>
      <c r="AP215" s="97" t="n"/>
      <c r="AQ215" s="97" t="n"/>
      <c r="AR215" s="97" t="n"/>
      <c r="AS215" s="97" t="n"/>
      <c r="AT215" s="97" t="n"/>
      <c r="AU215" s="97" t="n"/>
      <c r="AV215" s="97" t="n"/>
      <c r="AW215" s="97" t="n"/>
      <c r="AX215" s="97" t="n"/>
      <c r="AY215" s="97" t="n"/>
      <c r="AZ215" s="97" t="n"/>
      <c r="BA215" s="97" t="n"/>
      <c r="BB215" s="97" t="n"/>
    </row>
    <row r="216" ht="22" customHeight="1" s="110">
      <c r="A216" s="96" t="n"/>
      <c r="B216" s="96" t="n"/>
      <c r="C216" s="96" t="n"/>
      <c r="D216" s="96" t="n"/>
      <c r="E216" s="96" t="n"/>
      <c r="F216" s="96" t="n"/>
      <c r="G216" s="96" t="n"/>
      <c r="H216" s="96" t="n"/>
      <c r="I216" s="96" t="n"/>
      <c r="J216" s="96" t="n"/>
      <c r="L216" s="96" t="n"/>
      <c r="M216" s="96" t="n"/>
      <c r="N216" s="96" t="n"/>
      <c r="O216" s="96" t="n"/>
      <c r="Q216" s="96" t="n"/>
      <c r="R216" s="96" t="n"/>
      <c r="S216" s="96" t="n"/>
      <c r="T216" s="96" t="n"/>
      <c r="U216" s="96" t="n"/>
      <c r="V216" s="96" t="n"/>
      <c r="W216" s="96" t="n"/>
      <c r="X216" s="96" t="n"/>
      <c r="Y216" s="96" t="n"/>
      <c r="Z216" s="96" t="n"/>
      <c r="AA216" s="96" t="n"/>
      <c r="AB216" s="96" t="n"/>
      <c r="AC216" s="96" t="n"/>
      <c r="AD216" s="96" t="n"/>
      <c r="AE216" s="96" t="n"/>
      <c r="AF216" s="96" t="n"/>
      <c r="AG216" s="96" t="n"/>
      <c r="AH216" s="96" t="n"/>
      <c r="AI216" s="96" t="n"/>
      <c r="AJ216" s="96" t="n"/>
      <c r="AK216" s="96" t="n"/>
      <c r="AL216" s="96" t="n"/>
      <c r="AM216" s="96" t="n"/>
      <c r="AN216" s="96" t="n"/>
      <c r="AO216" s="96" t="n"/>
      <c r="AP216" s="96" t="n"/>
      <c r="AQ216" s="96" t="n"/>
      <c r="AR216" s="96" t="n"/>
      <c r="AS216" s="96" t="n"/>
      <c r="AT216" s="96" t="n"/>
      <c r="AU216" s="96" t="n"/>
      <c r="AV216" s="96" t="n"/>
      <c r="AW216" s="96" t="n"/>
      <c r="AX216" s="96" t="n"/>
      <c r="AY216" s="96" t="n"/>
      <c r="AZ216" s="96" t="n"/>
      <c r="BA216" s="96" t="n"/>
      <c r="BB216" s="96" t="n"/>
    </row>
    <row r="217" ht="22" customHeight="1" s="110">
      <c r="A217" s="97" t="n"/>
      <c r="B217" s="97" t="n"/>
      <c r="C217" s="97" t="n"/>
      <c r="D217" s="97" t="n"/>
      <c r="E217" s="97" t="n"/>
      <c r="F217" s="97" t="n"/>
      <c r="G217" s="97" t="n"/>
      <c r="H217" s="97" t="n"/>
      <c r="I217" s="97" t="n"/>
      <c r="J217" s="97" t="n"/>
      <c r="L217" s="97" t="n"/>
      <c r="M217" s="97" t="n"/>
      <c r="N217" s="97" t="n"/>
      <c r="O217" s="97" t="n"/>
      <c r="Q217" s="97" t="n"/>
      <c r="R217" s="97" t="n"/>
      <c r="S217" s="97" t="n"/>
      <c r="T217" s="97" t="n"/>
      <c r="U217" s="97" t="n"/>
      <c r="V217" s="97" t="n"/>
      <c r="W217" s="97" t="n"/>
      <c r="X217" s="97" t="n"/>
      <c r="Y217" s="97" t="n"/>
      <c r="Z217" s="97" t="n"/>
      <c r="AA217" s="97" t="n"/>
      <c r="AB217" s="97" t="n"/>
      <c r="AC217" s="97" t="n"/>
      <c r="AD217" s="97" t="n"/>
      <c r="AE217" s="97" t="n"/>
      <c r="AF217" s="97" t="n"/>
      <c r="AG217" s="97" t="n"/>
      <c r="AH217" s="97" t="n"/>
      <c r="AI217" s="97" t="n"/>
      <c r="AJ217" s="97" t="n"/>
      <c r="AK217" s="97" t="n"/>
      <c r="AL217" s="97" t="n"/>
      <c r="AM217" s="97" t="n"/>
      <c r="AN217" s="97" t="n"/>
      <c r="AO217" s="97" t="n"/>
      <c r="AP217" s="97" t="n"/>
      <c r="AQ217" s="97" t="n"/>
      <c r="AR217" s="97" t="n"/>
      <c r="AS217" s="97" t="n"/>
      <c r="AT217" s="97" t="n"/>
      <c r="AU217" s="97" t="n"/>
      <c r="AV217" s="97" t="n"/>
      <c r="AW217" s="97" t="n"/>
      <c r="AX217" s="97" t="n"/>
      <c r="AY217" s="97" t="n"/>
      <c r="AZ217" s="97" t="n"/>
      <c r="BA217" s="97" t="n"/>
      <c r="BB217" s="97" t="n"/>
    </row>
    <row r="218" ht="22" customHeight="1" s="110">
      <c r="A218" s="96" t="n"/>
      <c r="B218" s="96" t="n"/>
      <c r="C218" s="96" t="n"/>
      <c r="D218" s="96" t="n"/>
      <c r="E218" s="96" t="n"/>
      <c r="F218" s="96" t="n"/>
      <c r="G218" s="96" t="n"/>
      <c r="H218" s="96" t="n"/>
      <c r="I218" s="96" t="n"/>
      <c r="J218" s="96" t="n"/>
      <c r="L218" s="96" t="n"/>
      <c r="M218" s="96" t="n"/>
      <c r="N218" s="96" t="n"/>
      <c r="O218" s="96" t="n"/>
      <c r="Q218" s="96" t="n"/>
      <c r="R218" s="96" t="n"/>
      <c r="S218" s="96" t="n"/>
      <c r="T218" s="96" t="n"/>
      <c r="U218" s="96" t="n"/>
      <c r="V218" s="96" t="n"/>
      <c r="W218" s="96" t="n"/>
      <c r="X218" s="96" t="n"/>
      <c r="Y218" s="96" t="n"/>
      <c r="Z218" s="96" t="n"/>
      <c r="AA218" s="96" t="n"/>
      <c r="AB218" s="96" t="n"/>
      <c r="AC218" s="96" t="n"/>
      <c r="AD218" s="96" t="n"/>
      <c r="AE218" s="96" t="n"/>
      <c r="AF218" s="96" t="n"/>
      <c r="AG218" s="96" t="n"/>
      <c r="AH218" s="96" t="n"/>
      <c r="AI218" s="96" t="n"/>
      <c r="AJ218" s="96" t="n"/>
      <c r="AK218" s="96" t="n"/>
      <c r="AL218" s="96" t="n"/>
      <c r="AM218" s="96" t="n"/>
      <c r="AN218" s="96" t="n"/>
      <c r="AO218" s="96" t="n"/>
      <c r="AP218" s="96" t="n"/>
      <c r="AQ218" s="96" t="n"/>
      <c r="AR218" s="96" t="n"/>
      <c r="AS218" s="96" t="n"/>
      <c r="AT218" s="96" t="n"/>
      <c r="AU218" s="96" t="n"/>
      <c r="AV218" s="96" t="n"/>
      <c r="AW218" s="96" t="n"/>
      <c r="AX218" s="96" t="n"/>
      <c r="AY218" s="96" t="n"/>
      <c r="AZ218" s="96" t="n"/>
      <c r="BA218" s="96" t="n"/>
      <c r="BB218" s="96" t="n"/>
    </row>
    <row r="219" ht="22" customHeight="1" s="110">
      <c r="A219" s="97" t="n"/>
      <c r="B219" s="97" t="n"/>
      <c r="C219" s="97" t="n"/>
      <c r="D219" s="97" t="n"/>
      <c r="E219" s="97" t="n"/>
      <c r="F219" s="97" t="n"/>
      <c r="G219" s="97" t="n"/>
      <c r="H219" s="97" t="n"/>
      <c r="I219" s="97" t="n"/>
      <c r="J219" s="97" t="n"/>
      <c r="L219" s="97" t="n"/>
      <c r="M219" s="97" t="n"/>
      <c r="N219" s="97" t="n"/>
      <c r="O219" s="97" t="n"/>
      <c r="Q219" s="97" t="n"/>
      <c r="R219" s="97" t="n"/>
      <c r="S219" s="97" t="n"/>
      <c r="T219" s="97" t="n"/>
      <c r="U219" s="97" t="n"/>
      <c r="V219" s="97" t="n"/>
      <c r="W219" s="97" t="n"/>
      <c r="X219" s="97" t="n"/>
      <c r="Y219" s="97" t="n"/>
      <c r="Z219" s="97" t="n"/>
      <c r="AA219" s="97" t="n"/>
      <c r="AB219" s="97" t="n"/>
      <c r="AC219" s="97" t="n"/>
      <c r="AD219" s="97" t="n"/>
      <c r="AE219" s="97" t="n"/>
      <c r="AF219" s="97" t="n"/>
      <c r="AG219" s="97" t="n"/>
      <c r="AH219" s="97" t="n"/>
      <c r="AI219" s="97" t="n"/>
      <c r="AJ219" s="97" t="n"/>
      <c r="AK219" s="97" t="n"/>
      <c r="AL219" s="97" t="n"/>
      <c r="AM219" s="97" t="n"/>
      <c r="AN219" s="97" t="n"/>
      <c r="AO219" s="97" t="n"/>
      <c r="AP219" s="97" t="n"/>
      <c r="AQ219" s="97" t="n"/>
      <c r="AR219" s="97" t="n"/>
      <c r="AS219" s="97" t="n"/>
      <c r="AT219" s="97" t="n"/>
      <c r="AU219" s="97" t="n"/>
      <c r="AV219" s="97" t="n"/>
      <c r="AW219" s="97" t="n"/>
      <c r="AX219" s="97" t="n"/>
      <c r="AY219" s="97" t="n"/>
      <c r="AZ219" s="97" t="n"/>
      <c r="BA219" s="97" t="n"/>
      <c r="BB219" s="97" t="n"/>
    </row>
    <row r="220" ht="22" customHeight="1" s="110">
      <c r="A220" s="96" t="n"/>
      <c r="B220" s="96" t="n"/>
      <c r="C220" s="96" t="n"/>
      <c r="D220" s="96" t="n"/>
      <c r="E220" s="96" t="n"/>
      <c r="F220" s="96" t="n"/>
      <c r="G220" s="96" t="n"/>
      <c r="H220" s="96" t="n"/>
      <c r="I220" s="96" t="n"/>
      <c r="J220" s="96" t="n"/>
      <c r="L220" s="96" t="n"/>
      <c r="M220" s="96" t="n"/>
      <c r="N220" s="96" t="n"/>
      <c r="O220" s="96" t="n"/>
      <c r="Q220" s="96" t="n"/>
      <c r="R220" s="96" t="n"/>
      <c r="S220" s="96" t="n"/>
      <c r="T220" s="96" t="n"/>
      <c r="U220" s="96" t="n"/>
      <c r="V220" s="96" t="n"/>
      <c r="W220" s="96" t="n"/>
      <c r="X220" s="96" t="n"/>
      <c r="Y220" s="96" t="n"/>
      <c r="Z220" s="96" t="n"/>
      <c r="AA220" s="96" t="n"/>
      <c r="AB220" s="96" t="n"/>
      <c r="AC220" s="96" t="n"/>
      <c r="AD220" s="96" t="n"/>
      <c r="AE220" s="96" t="n"/>
      <c r="AF220" s="96" t="n"/>
      <c r="AG220" s="96" t="n"/>
      <c r="AH220" s="96" t="n"/>
      <c r="AI220" s="96" t="n"/>
      <c r="AJ220" s="96" t="n"/>
      <c r="AK220" s="96" t="n"/>
      <c r="AL220" s="96" t="n"/>
      <c r="AM220" s="96" t="n"/>
      <c r="AN220" s="96" t="n"/>
      <c r="AO220" s="96" t="n"/>
      <c r="AP220" s="96" t="n"/>
      <c r="AQ220" s="96" t="n"/>
      <c r="AR220" s="96" t="n"/>
      <c r="AS220" s="96" t="n"/>
      <c r="AT220" s="96" t="n"/>
      <c r="AU220" s="96" t="n"/>
      <c r="AV220" s="96" t="n"/>
      <c r="AW220" s="96" t="n"/>
      <c r="AX220" s="96" t="n"/>
      <c r="AY220" s="96" t="n"/>
      <c r="AZ220" s="96" t="n"/>
      <c r="BA220" s="96" t="n"/>
      <c r="BB220" s="96" t="n"/>
    </row>
    <row r="221" ht="22" customHeight="1" s="110">
      <c r="A221" s="97" t="n"/>
      <c r="B221" s="97" t="n"/>
      <c r="C221" s="97" t="n"/>
      <c r="D221" s="97" t="n"/>
      <c r="E221" s="97" t="n"/>
      <c r="F221" s="97" t="n"/>
      <c r="G221" s="97" t="n"/>
      <c r="H221" s="97" t="n"/>
      <c r="I221" s="97" t="n"/>
      <c r="J221" s="97" t="n"/>
      <c r="L221" s="97" t="n"/>
      <c r="M221" s="97" t="n"/>
      <c r="N221" s="97" t="n"/>
      <c r="O221" s="97" t="n"/>
      <c r="Q221" s="97" t="n"/>
      <c r="R221" s="97" t="n"/>
      <c r="S221" s="97" t="n"/>
      <c r="T221" s="97" t="n"/>
      <c r="U221" s="97" t="n"/>
      <c r="V221" s="97" t="n"/>
      <c r="W221" s="97" t="n"/>
      <c r="X221" s="97" t="n"/>
      <c r="Y221" s="97" t="n"/>
      <c r="Z221" s="97" t="n"/>
      <c r="AA221" s="97" t="n"/>
      <c r="AB221" s="97" t="n"/>
      <c r="AC221" s="97" t="n"/>
      <c r="AD221" s="97" t="n"/>
      <c r="AE221" s="97" t="n"/>
      <c r="AF221" s="97" t="n"/>
      <c r="AG221" s="97" t="n"/>
      <c r="AH221" s="97" t="n"/>
      <c r="AI221" s="97" t="n"/>
      <c r="AJ221" s="97" t="n"/>
      <c r="AK221" s="97" t="n"/>
      <c r="AL221" s="97" t="n"/>
      <c r="AM221" s="97" t="n"/>
      <c r="AN221" s="97" t="n"/>
      <c r="AO221" s="97" t="n"/>
      <c r="AP221" s="97" t="n"/>
      <c r="AQ221" s="97" t="n"/>
      <c r="AR221" s="97" t="n"/>
      <c r="AS221" s="97" t="n"/>
      <c r="AT221" s="97" t="n"/>
      <c r="AU221" s="97" t="n"/>
      <c r="AV221" s="97" t="n"/>
      <c r="AW221" s="97" t="n"/>
      <c r="AX221" s="97" t="n"/>
      <c r="AY221" s="97" t="n"/>
      <c r="AZ221" s="97" t="n"/>
      <c r="BA221" s="97" t="n"/>
      <c r="BB221" s="97" t="n"/>
    </row>
    <row r="222" ht="22" customHeight="1" s="110">
      <c r="A222" s="96" t="n"/>
      <c r="B222" s="96" t="n"/>
      <c r="C222" s="96" t="n"/>
      <c r="D222" s="96" t="n"/>
      <c r="E222" s="96" t="n"/>
      <c r="F222" s="96" t="n"/>
      <c r="G222" s="96" t="n"/>
      <c r="H222" s="96" t="n"/>
      <c r="I222" s="96" t="n"/>
      <c r="J222" s="96" t="n"/>
      <c r="L222" s="96" t="n"/>
      <c r="M222" s="96" t="n"/>
      <c r="N222" s="96" t="n"/>
      <c r="O222" s="96" t="n"/>
      <c r="Q222" s="96" t="n"/>
      <c r="R222" s="96" t="n"/>
      <c r="S222" s="96" t="n"/>
      <c r="T222" s="96" t="n"/>
      <c r="U222" s="96" t="n"/>
      <c r="V222" s="96" t="n"/>
      <c r="W222" s="96" t="n"/>
      <c r="X222" s="96" t="n"/>
      <c r="Y222" s="96" t="n"/>
      <c r="Z222" s="96" t="n"/>
      <c r="AA222" s="96" t="n"/>
      <c r="AB222" s="96" t="n"/>
      <c r="AC222" s="96" t="n"/>
      <c r="AD222" s="96" t="n"/>
      <c r="AE222" s="96" t="n"/>
      <c r="AF222" s="96" t="n"/>
      <c r="AG222" s="96" t="n"/>
      <c r="AH222" s="96" t="n"/>
      <c r="AI222" s="96" t="n"/>
      <c r="AJ222" s="96" t="n"/>
      <c r="AK222" s="96" t="n"/>
      <c r="AL222" s="96" t="n"/>
      <c r="AM222" s="96" t="n"/>
      <c r="AN222" s="96" t="n"/>
      <c r="AO222" s="96" t="n"/>
      <c r="AP222" s="96" t="n"/>
      <c r="AQ222" s="96" t="n"/>
      <c r="AR222" s="96" t="n"/>
      <c r="AS222" s="96" t="n"/>
      <c r="AT222" s="96" t="n"/>
      <c r="AU222" s="96" t="n"/>
      <c r="AV222" s="96" t="n"/>
      <c r="AW222" s="96" t="n"/>
      <c r="AX222" s="96" t="n"/>
      <c r="AY222" s="96" t="n"/>
      <c r="AZ222" s="96" t="n"/>
      <c r="BA222" s="96" t="n"/>
      <c r="BB222" s="96" t="n"/>
    </row>
    <row r="223" ht="22" customHeight="1" s="110">
      <c r="A223" s="97" t="n"/>
      <c r="B223" s="97" t="n"/>
      <c r="C223" s="97" t="n"/>
      <c r="D223" s="97" t="n"/>
      <c r="E223" s="97" t="n"/>
      <c r="F223" s="97" t="n"/>
      <c r="G223" s="97" t="n"/>
      <c r="H223" s="97" t="n"/>
      <c r="I223" s="97" t="n"/>
      <c r="J223" s="97" t="n"/>
      <c r="L223" s="97" t="n"/>
      <c r="M223" s="97" t="n"/>
      <c r="N223" s="97" t="n"/>
      <c r="O223" s="97" t="n"/>
      <c r="Q223" s="97" t="n"/>
      <c r="R223" s="97" t="n"/>
      <c r="S223" s="97" t="n"/>
      <c r="T223" s="97" t="n"/>
      <c r="U223" s="97" t="n"/>
      <c r="V223" s="97" t="n"/>
      <c r="W223" s="97" t="n"/>
      <c r="X223" s="97" t="n"/>
      <c r="Y223" s="97" t="n"/>
      <c r="Z223" s="97" t="n"/>
      <c r="AA223" s="97" t="n"/>
      <c r="AB223" s="97" t="n"/>
      <c r="AC223" s="97" t="n"/>
      <c r="AD223" s="97" t="n"/>
      <c r="AE223" s="97" t="n"/>
      <c r="AF223" s="97" t="n"/>
      <c r="AG223" s="97" t="n"/>
      <c r="AH223" s="97" t="n"/>
      <c r="AI223" s="97" t="n"/>
      <c r="AJ223" s="97" t="n"/>
      <c r="AK223" s="97" t="n"/>
      <c r="AL223" s="97" t="n"/>
      <c r="AM223" s="97" t="n"/>
      <c r="AN223" s="97" t="n"/>
      <c r="AO223" s="97" t="n"/>
      <c r="AP223" s="97" t="n"/>
      <c r="AQ223" s="97" t="n"/>
      <c r="AR223" s="97" t="n"/>
      <c r="AS223" s="97" t="n"/>
      <c r="AT223" s="97" t="n"/>
      <c r="AU223" s="97" t="n"/>
      <c r="AV223" s="97" t="n"/>
      <c r="AW223" s="97" t="n"/>
      <c r="AX223" s="97" t="n"/>
      <c r="AY223" s="97" t="n"/>
      <c r="AZ223" s="97" t="n"/>
      <c r="BA223" s="97" t="n"/>
      <c r="BB223" s="97" t="n"/>
    </row>
    <row r="224" ht="22" customHeight="1" s="110">
      <c r="A224" s="96" t="n"/>
      <c r="B224" s="96" t="n"/>
      <c r="C224" s="96" t="n"/>
      <c r="D224" s="96" t="n"/>
      <c r="E224" s="96" t="n"/>
      <c r="F224" s="96" t="n"/>
      <c r="G224" s="96" t="n"/>
      <c r="H224" s="96" t="n"/>
      <c r="I224" s="96" t="n"/>
      <c r="J224" s="96" t="n"/>
      <c r="L224" s="96" t="n"/>
      <c r="M224" s="96" t="n"/>
      <c r="N224" s="96" t="n"/>
      <c r="O224" s="96" t="n"/>
      <c r="Q224" s="96" t="n"/>
      <c r="R224" s="96" t="n"/>
      <c r="S224" s="96" t="n"/>
      <c r="T224" s="96" t="n"/>
      <c r="U224" s="96" t="n"/>
      <c r="V224" s="96" t="n"/>
      <c r="W224" s="96" t="n"/>
      <c r="X224" s="96" t="n"/>
      <c r="Y224" s="96" t="n"/>
      <c r="Z224" s="96" t="n"/>
      <c r="AA224" s="96" t="n"/>
      <c r="AB224" s="96" t="n"/>
      <c r="AC224" s="96" t="n"/>
      <c r="AD224" s="96" t="n"/>
      <c r="AE224" s="96" t="n"/>
      <c r="AF224" s="96" t="n"/>
      <c r="AG224" s="96" t="n"/>
      <c r="AH224" s="96" t="n"/>
      <c r="AI224" s="96" t="n"/>
      <c r="AJ224" s="96" t="n"/>
      <c r="AK224" s="96" t="n"/>
      <c r="AL224" s="96" t="n"/>
      <c r="AM224" s="96" t="n"/>
      <c r="AN224" s="96" t="n"/>
      <c r="AO224" s="96" t="n"/>
      <c r="AP224" s="96" t="n"/>
      <c r="AQ224" s="96" t="n"/>
      <c r="AR224" s="96" t="n"/>
      <c r="AS224" s="96" t="n"/>
      <c r="AT224" s="96" t="n"/>
      <c r="AU224" s="96" t="n"/>
      <c r="AV224" s="96" t="n"/>
      <c r="AW224" s="96" t="n"/>
      <c r="AX224" s="96" t="n"/>
      <c r="AY224" s="96" t="n"/>
      <c r="AZ224" s="96" t="n"/>
      <c r="BA224" s="96" t="n"/>
      <c r="BB224" s="96" t="n"/>
    </row>
    <row r="225" ht="22" customHeight="1" s="110">
      <c r="A225" s="97" t="n"/>
      <c r="B225" s="97" t="n"/>
      <c r="C225" s="97" t="n"/>
      <c r="D225" s="97" t="n"/>
      <c r="E225" s="97" t="n"/>
      <c r="F225" s="97" t="n"/>
      <c r="G225" s="97" t="n"/>
      <c r="H225" s="97" t="n"/>
      <c r="I225" s="97" t="n"/>
      <c r="J225" s="97" t="n"/>
      <c r="L225" s="97" t="n"/>
      <c r="M225" s="97" t="n"/>
      <c r="N225" s="97" t="n"/>
      <c r="O225" s="97" t="n"/>
      <c r="Q225" s="97" t="n"/>
      <c r="R225" s="97" t="n"/>
      <c r="S225" s="97" t="n"/>
      <c r="T225" s="97" t="n"/>
      <c r="U225" s="97" t="n"/>
      <c r="V225" s="97" t="n"/>
      <c r="W225" s="97" t="n"/>
      <c r="X225" s="97" t="n"/>
      <c r="Y225" s="97" t="n"/>
      <c r="Z225" s="97" t="n"/>
      <c r="AA225" s="97" t="n"/>
      <c r="AB225" s="97" t="n"/>
      <c r="AC225" s="97" t="n"/>
      <c r="AD225" s="97" t="n"/>
      <c r="AE225" s="97" t="n"/>
      <c r="AF225" s="97" t="n"/>
      <c r="AG225" s="97" t="n"/>
      <c r="AH225" s="97" t="n"/>
      <c r="AI225" s="97" t="n"/>
      <c r="AJ225" s="97" t="n"/>
      <c r="AK225" s="97" t="n"/>
      <c r="AL225" s="97" t="n"/>
      <c r="AM225" s="97" t="n"/>
      <c r="AN225" s="97" t="n"/>
      <c r="AO225" s="97" t="n"/>
      <c r="AP225" s="97" t="n"/>
      <c r="AQ225" s="97" t="n"/>
      <c r="AR225" s="97" t="n"/>
      <c r="AS225" s="97" t="n"/>
      <c r="AT225" s="97" t="n"/>
      <c r="AU225" s="97" t="n"/>
      <c r="AV225" s="97" t="n"/>
      <c r="AW225" s="97" t="n"/>
      <c r="AX225" s="97" t="n"/>
      <c r="AY225" s="97" t="n"/>
      <c r="AZ225" s="97" t="n"/>
      <c r="BA225" s="97" t="n"/>
      <c r="BB225" s="97" t="n"/>
    </row>
    <row r="226" ht="22" customHeight="1" s="110">
      <c r="A226" s="96" t="n"/>
      <c r="B226" s="96" t="n"/>
      <c r="C226" s="96" t="n"/>
      <c r="D226" s="96" t="n"/>
      <c r="E226" s="96" t="n"/>
      <c r="F226" s="96" t="n"/>
      <c r="G226" s="96" t="n"/>
      <c r="H226" s="96" t="n"/>
      <c r="I226" s="96" t="n"/>
      <c r="J226" s="96" t="n"/>
      <c r="L226" s="96" t="n"/>
      <c r="M226" s="96" t="n"/>
      <c r="N226" s="96" t="n"/>
      <c r="O226" s="96" t="n"/>
      <c r="Q226" s="96" t="n"/>
      <c r="R226" s="96" t="n"/>
      <c r="S226" s="96" t="n"/>
      <c r="T226" s="96" t="n"/>
      <c r="U226" s="96" t="n"/>
      <c r="V226" s="96" t="n"/>
      <c r="W226" s="96" t="n"/>
      <c r="X226" s="96" t="n"/>
      <c r="Y226" s="96" t="n"/>
      <c r="Z226" s="96" t="n"/>
      <c r="AA226" s="96" t="n"/>
      <c r="AB226" s="96" t="n"/>
      <c r="AC226" s="96" t="n"/>
      <c r="AD226" s="96" t="n"/>
      <c r="AE226" s="96" t="n"/>
      <c r="AF226" s="96" t="n"/>
      <c r="AG226" s="96" t="n"/>
      <c r="AH226" s="96" t="n"/>
      <c r="AI226" s="96" t="n"/>
      <c r="AJ226" s="96" t="n"/>
      <c r="AK226" s="96" t="n"/>
      <c r="AL226" s="96" t="n"/>
      <c r="AM226" s="96" t="n"/>
      <c r="AN226" s="96" t="n"/>
      <c r="AO226" s="96" t="n"/>
      <c r="AP226" s="96" t="n"/>
      <c r="AQ226" s="96" t="n"/>
      <c r="AR226" s="96" t="n"/>
      <c r="AS226" s="96" t="n"/>
      <c r="AT226" s="96" t="n"/>
      <c r="AU226" s="96" t="n"/>
      <c r="AV226" s="96" t="n"/>
      <c r="AW226" s="96" t="n"/>
      <c r="AX226" s="96" t="n"/>
      <c r="AY226" s="96" t="n"/>
      <c r="AZ226" s="96" t="n"/>
      <c r="BA226" s="96" t="n"/>
      <c r="BB226" s="96" t="n"/>
    </row>
    <row r="227" ht="22" customHeight="1" s="110">
      <c r="A227" s="97" t="n"/>
      <c r="B227" s="97" t="n"/>
      <c r="C227" s="97" t="n"/>
      <c r="D227" s="97" t="n"/>
      <c r="E227" s="97" t="n"/>
      <c r="F227" s="97" t="n"/>
      <c r="G227" s="97" t="n"/>
      <c r="H227" s="97" t="n"/>
      <c r="I227" s="97" t="n"/>
      <c r="J227" s="97" t="n"/>
      <c r="L227" s="97" t="n"/>
      <c r="M227" s="97" t="n"/>
      <c r="N227" s="97" t="n"/>
      <c r="O227" s="97" t="n"/>
      <c r="Q227" s="97" t="n"/>
      <c r="R227" s="97" t="n"/>
      <c r="S227" s="97" t="n"/>
      <c r="T227" s="97" t="n"/>
      <c r="U227" s="97" t="n"/>
      <c r="V227" s="97" t="n"/>
      <c r="W227" s="97" t="n"/>
      <c r="X227" s="97" t="n"/>
      <c r="Y227" s="97" t="n"/>
      <c r="Z227" s="97" t="n"/>
      <c r="AA227" s="97" t="n"/>
      <c r="AB227" s="97" t="n"/>
      <c r="AC227" s="97" t="n"/>
      <c r="AD227" s="97" t="n"/>
      <c r="AE227" s="97" t="n"/>
      <c r="AF227" s="97" t="n"/>
      <c r="AG227" s="97" t="n"/>
      <c r="AH227" s="97" t="n"/>
      <c r="AI227" s="97" t="n"/>
      <c r="AJ227" s="97" t="n"/>
      <c r="AK227" s="97" t="n"/>
      <c r="AL227" s="97" t="n"/>
      <c r="AM227" s="97" t="n"/>
      <c r="AN227" s="97" t="n"/>
      <c r="AO227" s="97" t="n"/>
      <c r="AP227" s="97" t="n"/>
      <c r="AQ227" s="97" t="n"/>
      <c r="AR227" s="97" t="n"/>
      <c r="AS227" s="97" t="n"/>
      <c r="AT227" s="97" t="n"/>
      <c r="AU227" s="97" t="n"/>
      <c r="AV227" s="97" t="n"/>
      <c r="AW227" s="97" t="n"/>
      <c r="AX227" s="97" t="n"/>
      <c r="AY227" s="97" t="n"/>
      <c r="AZ227" s="97" t="n"/>
      <c r="BA227" s="97" t="n"/>
      <c r="BB227" s="97" t="n"/>
    </row>
    <row r="228" ht="22" customHeight="1" s="110">
      <c r="A228" s="96" t="n"/>
      <c r="B228" s="96" t="n"/>
      <c r="C228" s="96" t="n"/>
      <c r="D228" s="96" t="n"/>
      <c r="E228" s="96" t="n"/>
      <c r="F228" s="96" t="n"/>
      <c r="G228" s="96" t="n"/>
      <c r="H228" s="96" t="n"/>
      <c r="I228" s="96" t="n"/>
      <c r="J228" s="96" t="n"/>
      <c r="L228" s="96" t="n"/>
      <c r="M228" s="96" t="n"/>
      <c r="N228" s="96" t="n"/>
      <c r="O228" s="96" t="n"/>
      <c r="Q228" s="96" t="n"/>
      <c r="R228" s="96" t="n"/>
      <c r="S228" s="96" t="n"/>
      <c r="T228" s="96" t="n"/>
      <c r="U228" s="96" t="n"/>
      <c r="V228" s="96" t="n"/>
      <c r="W228" s="96" t="n"/>
      <c r="X228" s="96" t="n"/>
      <c r="Y228" s="96" t="n"/>
      <c r="Z228" s="96" t="n"/>
      <c r="AA228" s="96" t="n"/>
      <c r="AB228" s="96" t="n"/>
      <c r="AC228" s="96" t="n"/>
      <c r="AD228" s="96" t="n"/>
      <c r="AE228" s="96" t="n"/>
      <c r="AF228" s="96" t="n"/>
      <c r="AG228" s="96" t="n"/>
      <c r="AH228" s="96" t="n"/>
      <c r="AI228" s="96" t="n"/>
      <c r="AJ228" s="96" t="n"/>
      <c r="AK228" s="96" t="n"/>
      <c r="AL228" s="96" t="n"/>
      <c r="AM228" s="96" t="n"/>
      <c r="AN228" s="96" t="n"/>
      <c r="AO228" s="96" t="n"/>
      <c r="AP228" s="96" t="n"/>
      <c r="AQ228" s="96" t="n"/>
      <c r="AR228" s="96" t="n"/>
      <c r="AS228" s="96" t="n"/>
      <c r="AT228" s="96" t="n"/>
      <c r="AU228" s="96" t="n"/>
      <c r="AV228" s="96" t="n"/>
      <c r="AW228" s="96" t="n"/>
      <c r="AX228" s="96" t="n"/>
      <c r="AY228" s="96" t="n"/>
      <c r="AZ228" s="96" t="n"/>
      <c r="BA228" s="96" t="n"/>
      <c r="BB228" s="96" t="n"/>
    </row>
    <row r="229" ht="22" customHeight="1" s="110">
      <c r="A229" s="97" t="n"/>
      <c r="B229" s="97" t="n"/>
      <c r="C229" s="97" t="n"/>
      <c r="D229" s="97" t="n"/>
      <c r="E229" s="97" t="n"/>
      <c r="F229" s="97" t="n"/>
      <c r="G229" s="97" t="n"/>
      <c r="H229" s="97" t="n"/>
      <c r="I229" s="97" t="n"/>
      <c r="J229" s="97" t="n"/>
      <c r="L229" s="97" t="n"/>
      <c r="M229" s="97" t="n"/>
      <c r="N229" s="97" t="n"/>
      <c r="O229" s="97" t="n"/>
      <c r="Q229" s="97" t="n"/>
      <c r="R229" s="97" t="n"/>
      <c r="S229" s="97" t="n"/>
      <c r="T229" s="97" t="n"/>
      <c r="U229" s="97" t="n"/>
      <c r="V229" s="97" t="n"/>
      <c r="W229" s="97" t="n"/>
      <c r="X229" s="97" t="n"/>
      <c r="Y229" s="97" t="n"/>
      <c r="Z229" s="97" t="n"/>
      <c r="AA229" s="97" t="n"/>
      <c r="AB229" s="97" t="n"/>
      <c r="AC229" s="97" t="n"/>
      <c r="AD229" s="97" t="n"/>
      <c r="AE229" s="97" t="n"/>
      <c r="AF229" s="97" t="n"/>
      <c r="AG229" s="97" t="n"/>
      <c r="AH229" s="97" t="n"/>
      <c r="AI229" s="97" t="n"/>
      <c r="AJ229" s="97" t="n"/>
      <c r="AK229" s="97" t="n"/>
      <c r="AL229" s="97" t="n"/>
      <c r="AM229" s="97" t="n"/>
      <c r="AN229" s="97" t="n"/>
      <c r="AO229" s="97" t="n"/>
      <c r="AP229" s="97" t="n"/>
      <c r="AQ229" s="97" t="n"/>
      <c r="AR229" s="97" t="n"/>
      <c r="AS229" s="97" t="n"/>
      <c r="AT229" s="97" t="n"/>
      <c r="AU229" s="97" t="n"/>
      <c r="AV229" s="97" t="n"/>
      <c r="AW229" s="97" t="n"/>
      <c r="AX229" s="97" t="n"/>
      <c r="AY229" s="97" t="n"/>
      <c r="AZ229" s="97" t="n"/>
      <c r="BA229" s="97" t="n"/>
      <c r="BB229" s="97" t="n"/>
    </row>
    <row r="230" ht="22" customHeight="1" s="110">
      <c r="A230" s="96" t="n"/>
      <c r="B230" s="96" t="n"/>
      <c r="C230" s="96" t="n"/>
      <c r="D230" s="96" t="n"/>
      <c r="E230" s="96" t="n"/>
      <c r="F230" s="96" t="n"/>
      <c r="G230" s="96" t="n"/>
      <c r="H230" s="96" t="n"/>
      <c r="I230" s="96" t="n"/>
      <c r="J230" s="96" t="n"/>
      <c r="L230" s="96" t="n"/>
      <c r="M230" s="96" t="n"/>
      <c r="N230" s="96" t="n"/>
      <c r="O230" s="96" t="n"/>
      <c r="Q230" s="96" t="n"/>
      <c r="R230" s="96" t="n"/>
      <c r="S230" s="96" t="n"/>
      <c r="T230" s="96" t="n"/>
      <c r="U230" s="96" t="n"/>
      <c r="V230" s="96" t="n"/>
      <c r="W230" s="96" t="n"/>
      <c r="X230" s="96" t="n"/>
      <c r="Y230" s="96" t="n"/>
      <c r="Z230" s="96" t="n"/>
      <c r="AA230" s="96" t="n"/>
      <c r="AB230" s="96" t="n"/>
      <c r="AC230" s="96" t="n"/>
      <c r="AD230" s="96" t="n"/>
      <c r="AE230" s="96" t="n"/>
      <c r="AF230" s="96" t="n"/>
      <c r="AG230" s="96" t="n"/>
      <c r="AH230" s="96" t="n"/>
      <c r="AI230" s="96" t="n"/>
      <c r="AJ230" s="96" t="n"/>
      <c r="AK230" s="96" t="n"/>
      <c r="AL230" s="96" t="n"/>
      <c r="AM230" s="96" t="n"/>
      <c r="AN230" s="96" t="n"/>
      <c r="AO230" s="96" t="n"/>
      <c r="AP230" s="96" t="n"/>
      <c r="AQ230" s="96" t="n"/>
      <c r="AR230" s="96" t="n"/>
      <c r="AS230" s="96" t="n"/>
      <c r="AT230" s="96" t="n"/>
      <c r="AU230" s="96" t="n"/>
      <c r="AV230" s="96" t="n"/>
      <c r="AW230" s="96" t="n"/>
      <c r="AX230" s="96" t="n"/>
      <c r="AY230" s="96" t="n"/>
      <c r="AZ230" s="96" t="n"/>
      <c r="BA230" s="96" t="n"/>
      <c r="BB230" s="96" t="n"/>
    </row>
    <row r="231" ht="22" customHeight="1" s="110">
      <c r="A231" s="97" t="n"/>
      <c r="B231" s="97" t="n"/>
      <c r="C231" s="97" t="n"/>
      <c r="D231" s="97" t="n"/>
      <c r="E231" s="97" t="n"/>
      <c r="F231" s="97" t="n"/>
      <c r="G231" s="97" t="n"/>
      <c r="H231" s="97" t="n"/>
      <c r="I231" s="97" t="n"/>
      <c r="J231" s="97" t="n"/>
      <c r="L231" s="97" t="n"/>
      <c r="M231" s="97" t="n"/>
      <c r="N231" s="97" t="n"/>
      <c r="O231" s="97" t="n"/>
      <c r="Q231" s="97" t="n"/>
      <c r="R231" s="97" t="n"/>
      <c r="S231" s="97" t="n"/>
      <c r="T231" s="97" t="n"/>
      <c r="U231" s="97" t="n"/>
      <c r="V231" s="97" t="n"/>
      <c r="W231" s="97" t="n"/>
      <c r="X231" s="97" t="n"/>
      <c r="Y231" s="97" t="n"/>
      <c r="Z231" s="97" t="n"/>
      <c r="AA231" s="97" t="n"/>
      <c r="AB231" s="97" t="n"/>
      <c r="AC231" s="97" t="n"/>
      <c r="AD231" s="97" t="n"/>
      <c r="AE231" s="97" t="n"/>
      <c r="AF231" s="97" t="n"/>
      <c r="AG231" s="97" t="n"/>
      <c r="AH231" s="97" t="n"/>
      <c r="AI231" s="97" t="n"/>
      <c r="AJ231" s="97" t="n"/>
      <c r="AK231" s="97" t="n"/>
      <c r="AL231" s="97" t="n"/>
      <c r="AM231" s="97" t="n"/>
      <c r="AN231" s="97" t="n"/>
      <c r="AO231" s="97" t="n"/>
      <c r="AP231" s="97" t="n"/>
      <c r="AQ231" s="97" t="n"/>
      <c r="AR231" s="97" t="n"/>
      <c r="AS231" s="97" t="n"/>
      <c r="AT231" s="97" t="n"/>
      <c r="AU231" s="97" t="n"/>
      <c r="AV231" s="97" t="n"/>
      <c r="AW231" s="97" t="n"/>
      <c r="AX231" s="97" t="n"/>
      <c r="AY231" s="97" t="n"/>
      <c r="AZ231" s="97" t="n"/>
      <c r="BA231" s="97" t="n"/>
      <c r="BB231" s="97" t="n"/>
    </row>
    <row r="232" ht="22" customHeight="1" s="110">
      <c r="A232" s="96" t="n"/>
      <c r="B232" s="96" t="n"/>
      <c r="C232" s="96" t="n"/>
      <c r="D232" s="96" t="n"/>
      <c r="E232" s="96" t="n"/>
      <c r="F232" s="96" t="n"/>
      <c r="G232" s="96" t="n"/>
      <c r="H232" s="96" t="n"/>
      <c r="I232" s="96" t="n"/>
      <c r="J232" s="96" t="n"/>
      <c r="L232" s="96" t="n"/>
      <c r="M232" s="96" t="n"/>
      <c r="N232" s="96" t="n"/>
      <c r="O232" s="96" t="n"/>
      <c r="Q232" s="96" t="n"/>
      <c r="R232" s="96" t="n"/>
      <c r="S232" s="96" t="n"/>
      <c r="T232" s="96" t="n"/>
      <c r="U232" s="96" t="n"/>
      <c r="V232" s="96" t="n"/>
      <c r="W232" s="96" t="n"/>
      <c r="X232" s="96" t="n"/>
      <c r="Y232" s="96" t="n"/>
      <c r="Z232" s="96" t="n"/>
      <c r="AA232" s="96" t="n"/>
      <c r="AB232" s="96" t="n"/>
      <c r="AC232" s="96" t="n"/>
      <c r="AD232" s="96" t="n"/>
      <c r="AE232" s="96" t="n"/>
      <c r="AF232" s="96" t="n"/>
      <c r="AG232" s="96" t="n"/>
      <c r="AH232" s="96" t="n"/>
      <c r="AI232" s="96" t="n"/>
      <c r="AJ232" s="96" t="n"/>
      <c r="AK232" s="96" t="n"/>
      <c r="AL232" s="96" t="n"/>
      <c r="AM232" s="96" t="n"/>
      <c r="AN232" s="96" t="n"/>
      <c r="AO232" s="96" t="n"/>
      <c r="AP232" s="96" t="n"/>
      <c r="AQ232" s="96" t="n"/>
      <c r="AR232" s="96" t="n"/>
      <c r="AS232" s="96" t="n"/>
      <c r="AT232" s="96" t="n"/>
      <c r="AU232" s="96" t="n"/>
      <c r="AV232" s="96" t="n"/>
      <c r="AW232" s="96" t="n"/>
      <c r="AX232" s="96" t="n"/>
      <c r="AY232" s="96" t="n"/>
      <c r="AZ232" s="96" t="n"/>
      <c r="BA232" s="96" t="n"/>
      <c r="BB232" s="96" t="n"/>
    </row>
    <row r="233" ht="22" customHeight="1" s="110">
      <c r="A233" s="97" t="n"/>
      <c r="B233" s="97" t="n"/>
      <c r="C233" s="97" t="n"/>
      <c r="D233" s="97" t="n"/>
      <c r="E233" s="97" t="n"/>
      <c r="F233" s="97" t="n"/>
      <c r="G233" s="97" t="n"/>
      <c r="H233" s="97" t="n"/>
      <c r="I233" s="97" t="n"/>
      <c r="J233" s="97" t="n"/>
      <c r="L233" s="97" t="n"/>
      <c r="M233" s="97" t="n"/>
      <c r="N233" s="97" t="n"/>
      <c r="O233" s="97" t="n"/>
      <c r="Q233" s="97" t="n"/>
      <c r="R233" s="97" t="n"/>
      <c r="S233" s="97" t="n"/>
      <c r="T233" s="97" t="n"/>
      <c r="U233" s="97" t="n"/>
      <c r="V233" s="97" t="n"/>
      <c r="W233" s="97" t="n"/>
      <c r="X233" s="97" t="n"/>
      <c r="Y233" s="97" t="n"/>
      <c r="Z233" s="97" t="n"/>
      <c r="AA233" s="97" t="n"/>
      <c r="AB233" s="97" t="n"/>
      <c r="AC233" s="97" t="n"/>
      <c r="AD233" s="97" t="n"/>
      <c r="AE233" s="97" t="n"/>
      <c r="AF233" s="97" t="n"/>
      <c r="AG233" s="97" t="n"/>
      <c r="AH233" s="97" t="n"/>
      <c r="AI233" s="97" t="n"/>
      <c r="AJ233" s="97" t="n"/>
      <c r="AK233" s="97" t="n"/>
      <c r="AL233" s="97" t="n"/>
      <c r="AM233" s="97" t="n"/>
      <c r="AN233" s="97" t="n"/>
      <c r="AO233" s="97" t="n"/>
      <c r="AP233" s="97" t="n"/>
      <c r="AQ233" s="97" t="n"/>
      <c r="AR233" s="97" t="n"/>
      <c r="AS233" s="97" t="n"/>
      <c r="AT233" s="97" t="n"/>
      <c r="AU233" s="97" t="n"/>
      <c r="AV233" s="97" t="n"/>
      <c r="AW233" s="97" t="n"/>
      <c r="AX233" s="97" t="n"/>
      <c r="AY233" s="97" t="n"/>
      <c r="AZ233" s="97" t="n"/>
      <c r="BA233" s="97" t="n"/>
      <c r="BB233" s="97" t="n"/>
    </row>
    <row r="234" ht="22" customHeight="1" s="110">
      <c r="A234" s="96" t="n"/>
      <c r="B234" s="96" t="n"/>
      <c r="C234" s="96" t="n"/>
      <c r="D234" s="96" t="n"/>
      <c r="E234" s="96" t="n"/>
      <c r="F234" s="96" t="n"/>
      <c r="G234" s="96" t="n"/>
      <c r="H234" s="96" t="n"/>
      <c r="I234" s="96" t="n"/>
      <c r="J234" s="96" t="n"/>
      <c r="L234" s="96" t="n"/>
      <c r="M234" s="96" t="n"/>
      <c r="N234" s="96" t="n"/>
      <c r="O234" s="96" t="n"/>
      <c r="Q234" s="96" t="n"/>
      <c r="R234" s="96" t="n"/>
      <c r="S234" s="96" t="n"/>
      <c r="T234" s="96" t="n"/>
      <c r="U234" s="96" t="n"/>
      <c r="V234" s="96" t="n"/>
      <c r="W234" s="96" t="n"/>
      <c r="X234" s="96" t="n"/>
      <c r="Y234" s="96" t="n"/>
      <c r="Z234" s="96" t="n"/>
      <c r="AA234" s="96" t="n"/>
      <c r="AB234" s="96" t="n"/>
      <c r="AC234" s="96" t="n"/>
      <c r="AD234" s="96" t="n"/>
      <c r="AE234" s="96" t="n"/>
      <c r="AF234" s="96" t="n"/>
      <c r="AG234" s="96" t="n"/>
      <c r="AH234" s="96" t="n"/>
      <c r="AI234" s="96" t="n"/>
      <c r="AJ234" s="96" t="n"/>
      <c r="AK234" s="96" t="n"/>
      <c r="AL234" s="96" t="n"/>
      <c r="AM234" s="96" t="n"/>
      <c r="AN234" s="96" t="n"/>
      <c r="AO234" s="96" t="n"/>
      <c r="AP234" s="96" t="n"/>
      <c r="AQ234" s="96" t="n"/>
      <c r="AR234" s="96" t="n"/>
      <c r="AS234" s="96" t="n"/>
      <c r="AT234" s="96" t="n"/>
      <c r="AU234" s="96" t="n"/>
      <c r="AV234" s="96" t="n"/>
      <c r="AW234" s="96" t="n"/>
      <c r="AX234" s="96" t="n"/>
      <c r="AY234" s="96" t="n"/>
      <c r="AZ234" s="96" t="n"/>
      <c r="BA234" s="96" t="n"/>
      <c r="BB234" s="96" t="n"/>
    </row>
    <row r="235" ht="22" customHeight="1" s="110">
      <c r="A235" s="97" t="n"/>
      <c r="B235" s="97" t="n"/>
      <c r="C235" s="97" t="n"/>
      <c r="D235" s="97" t="n"/>
      <c r="E235" s="97" t="n"/>
      <c r="F235" s="97" t="n"/>
      <c r="G235" s="97" t="n"/>
      <c r="H235" s="97" t="n"/>
      <c r="I235" s="97" t="n"/>
      <c r="J235" s="97" t="n"/>
      <c r="L235" s="97" t="n"/>
      <c r="M235" s="97" t="n"/>
      <c r="N235" s="97" t="n"/>
      <c r="O235" s="97" t="n"/>
      <c r="Q235" s="97" t="n"/>
      <c r="R235" s="97" t="n"/>
      <c r="S235" s="97" t="n"/>
      <c r="T235" s="97" t="n"/>
      <c r="U235" s="97" t="n"/>
      <c r="V235" s="97" t="n"/>
      <c r="W235" s="97" t="n"/>
      <c r="X235" s="97" t="n"/>
      <c r="Y235" s="97" t="n"/>
      <c r="Z235" s="97" t="n"/>
      <c r="AA235" s="97" t="n"/>
      <c r="AB235" s="97" t="n"/>
      <c r="AC235" s="97" t="n"/>
      <c r="AD235" s="97" t="n"/>
      <c r="AE235" s="97" t="n"/>
      <c r="AF235" s="97" t="n"/>
      <c r="AG235" s="97" t="n"/>
      <c r="AH235" s="97" t="n"/>
      <c r="AI235" s="97" t="n"/>
      <c r="AJ235" s="97" t="n"/>
      <c r="AK235" s="97" t="n"/>
      <c r="AL235" s="97" t="n"/>
      <c r="AM235" s="97" t="n"/>
      <c r="AN235" s="97" t="n"/>
      <c r="AO235" s="97" t="n"/>
      <c r="AP235" s="97" t="n"/>
      <c r="AQ235" s="97" t="n"/>
      <c r="AR235" s="97" t="n"/>
      <c r="AS235" s="97" t="n"/>
      <c r="AT235" s="97" t="n"/>
      <c r="AU235" s="97" t="n"/>
      <c r="AV235" s="97" t="n"/>
      <c r="AW235" s="97" t="n"/>
      <c r="AX235" s="97" t="n"/>
      <c r="AY235" s="97" t="n"/>
      <c r="AZ235" s="97" t="n"/>
      <c r="BA235" s="97" t="n"/>
      <c r="BB235" s="97" t="n"/>
    </row>
    <row r="236" ht="22" customHeight="1" s="110">
      <c r="A236" s="96" t="n"/>
      <c r="B236" s="96" t="n"/>
      <c r="C236" s="96" t="n"/>
      <c r="D236" s="96" t="n"/>
      <c r="E236" s="96" t="n"/>
      <c r="F236" s="96" t="n"/>
      <c r="G236" s="96" t="n"/>
      <c r="H236" s="96" t="n"/>
      <c r="I236" s="96" t="n"/>
      <c r="J236" s="96" t="n"/>
      <c r="L236" s="96" t="n"/>
      <c r="M236" s="96" t="n"/>
      <c r="N236" s="96" t="n"/>
      <c r="O236" s="96" t="n"/>
      <c r="Q236" s="96" t="n"/>
      <c r="R236" s="96" t="n"/>
      <c r="S236" s="96" t="n"/>
      <c r="T236" s="96" t="n"/>
      <c r="U236" s="96" t="n"/>
      <c r="V236" s="96" t="n"/>
      <c r="W236" s="96" t="n"/>
      <c r="X236" s="96" t="n"/>
      <c r="Y236" s="96" t="n"/>
      <c r="Z236" s="96" t="n"/>
      <c r="AA236" s="96" t="n"/>
      <c r="AB236" s="96" t="n"/>
      <c r="AC236" s="96" t="n"/>
      <c r="AD236" s="96" t="n"/>
      <c r="AE236" s="96" t="n"/>
      <c r="AF236" s="96" t="n"/>
      <c r="AG236" s="96" t="n"/>
      <c r="AH236" s="96" t="n"/>
      <c r="AI236" s="96" t="n"/>
      <c r="AJ236" s="96" t="n"/>
      <c r="AK236" s="96" t="n"/>
      <c r="AL236" s="96" t="n"/>
      <c r="AM236" s="96" t="n"/>
      <c r="AN236" s="96" t="n"/>
      <c r="AO236" s="96" t="n"/>
      <c r="AP236" s="96" t="n"/>
      <c r="AQ236" s="96" t="n"/>
      <c r="AR236" s="96" t="n"/>
      <c r="AS236" s="96" t="n"/>
      <c r="AT236" s="96" t="n"/>
      <c r="AU236" s="96" t="n"/>
      <c r="AV236" s="96" t="n"/>
      <c r="AW236" s="96" t="n"/>
      <c r="AX236" s="96" t="n"/>
      <c r="AY236" s="96" t="n"/>
      <c r="AZ236" s="96" t="n"/>
      <c r="BA236" s="96" t="n"/>
      <c r="BB236" s="96" t="n"/>
    </row>
    <row r="237" ht="22" customHeight="1" s="110">
      <c r="A237" s="97" t="n"/>
      <c r="B237" s="97" t="n"/>
      <c r="C237" s="97" t="n"/>
      <c r="D237" s="97" t="n"/>
      <c r="E237" s="97" t="n"/>
      <c r="F237" s="97" t="n"/>
      <c r="G237" s="97" t="n"/>
      <c r="H237" s="97" t="n"/>
      <c r="I237" s="97" t="n"/>
      <c r="J237" s="97" t="n"/>
      <c r="L237" s="97" t="n"/>
      <c r="M237" s="97" t="n"/>
      <c r="N237" s="97" t="n"/>
      <c r="O237" s="97" t="n"/>
      <c r="Q237" s="97" t="n"/>
      <c r="R237" s="97" t="n"/>
      <c r="S237" s="97" t="n"/>
      <c r="T237" s="97" t="n"/>
      <c r="U237" s="97" t="n"/>
      <c r="V237" s="97" t="n"/>
      <c r="W237" s="97" t="n"/>
      <c r="X237" s="97" t="n"/>
      <c r="Y237" s="97" t="n"/>
      <c r="Z237" s="97" t="n"/>
      <c r="AA237" s="97" t="n"/>
      <c r="AB237" s="97" t="n"/>
      <c r="AC237" s="97" t="n"/>
      <c r="AD237" s="97" t="n"/>
      <c r="AE237" s="97" t="n"/>
      <c r="AF237" s="97" t="n"/>
      <c r="AG237" s="97" t="n"/>
      <c r="AH237" s="97" t="n"/>
      <c r="AI237" s="97" t="n"/>
      <c r="AJ237" s="97" t="n"/>
      <c r="AK237" s="97" t="n"/>
      <c r="AL237" s="97" t="n"/>
      <c r="AM237" s="97" t="n"/>
      <c r="AN237" s="97" t="n"/>
      <c r="AO237" s="97" t="n"/>
      <c r="AP237" s="97" t="n"/>
      <c r="AQ237" s="97" t="n"/>
      <c r="AR237" s="97" t="n"/>
      <c r="AS237" s="97" t="n"/>
      <c r="AT237" s="97" t="n"/>
      <c r="AU237" s="97" t="n"/>
      <c r="AV237" s="97" t="n"/>
      <c r="AW237" s="97" t="n"/>
      <c r="AX237" s="97" t="n"/>
      <c r="AY237" s="97" t="n"/>
      <c r="AZ237" s="97" t="n"/>
      <c r="BA237" s="97" t="n"/>
      <c r="BB237" s="97" t="n"/>
    </row>
    <row r="238" ht="22" customHeight="1" s="110">
      <c r="A238" s="96" t="n"/>
      <c r="B238" s="96" t="n"/>
      <c r="C238" s="96" t="n"/>
      <c r="D238" s="96" t="n"/>
      <c r="E238" s="96" t="n"/>
      <c r="F238" s="96" t="n"/>
      <c r="G238" s="96" t="n"/>
      <c r="H238" s="96" t="n"/>
      <c r="I238" s="96" t="n"/>
      <c r="J238" s="96" t="n"/>
      <c r="L238" s="96" t="n"/>
      <c r="M238" s="96" t="n"/>
      <c r="N238" s="96" t="n"/>
      <c r="O238" s="96" t="n"/>
      <c r="Q238" s="96" t="n"/>
      <c r="R238" s="96" t="n"/>
      <c r="S238" s="96" t="n"/>
      <c r="T238" s="96" t="n"/>
      <c r="U238" s="96" t="n"/>
      <c r="V238" s="96" t="n"/>
      <c r="W238" s="96" t="n"/>
      <c r="X238" s="96" t="n"/>
      <c r="Y238" s="96" t="n"/>
      <c r="Z238" s="96" t="n"/>
      <c r="AA238" s="96" t="n"/>
      <c r="AB238" s="96" t="n"/>
      <c r="AC238" s="96" t="n"/>
      <c r="AD238" s="96" t="n"/>
      <c r="AE238" s="96" t="n"/>
      <c r="AF238" s="96" t="n"/>
      <c r="AG238" s="96" t="n"/>
      <c r="AH238" s="96" t="n"/>
      <c r="AI238" s="96" t="n"/>
      <c r="AJ238" s="96" t="n"/>
      <c r="AK238" s="96" t="n"/>
      <c r="AL238" s="96" t="n"/>
      <c r="AM238" s="96" t="n"/>
      <c r="AN238" s="96" t="n"/>
      <c r="AO238" s="96" t="n"/>
      <c r="AP238" s="96" t="n"/>
      <c r="AQ238" s="96" t="n"/>
      <c r="AR238" s="96" t="n"/>
      <c r="AS238" s="96" t="n"/>
      <c r="AT238" s="96" t="n"/>
      <c r="AU238" s="96" t="n"/>
      <c r="AV238" s="96" t="n"/>
      <c r="AW238" s="96" t="n"/>
      <c r="AX238" s="96" t="n"/>
      <c r="AY238" s="96" t="n"/>
      <c r="AZ238" s="96" t="n"/>
      <c r="BA238" s="96" t="n"/>
      <c r="BB238" s="96" t="n"/>
    </row>
    <row r="239" ht="22" customHeight="1" s="110">
      <c r="A239" s="97" t="n"/>
      <c r="B239" s="97" t="n"/>
      <c r="C239" s="97" t="n"/>
      <c r="D239" s="97" t="n"/>
      <c r="E239" s="97" t="n"/>
      <c r="F239" s="97" t="n"/>
      <c r="G239" s="97" t="n"/>
      <c r="H239" s="97" t="n"/>
      <c r="I239" s="97" t="n"/>
      <c r="J239" s="97" t="n"/>
      <c r="L239" s="97" t="n"/>
      <c r="M239" s="97" t="n"/>
      <c r="N239" s="97" t="n"/>
      <c r="O239" s="97" t="n"/>
      <c r="Q239" s="97" t="n"/>
      <c r="R239" s="97" t="n"/>
      <c r="S239" s="97" t="n"/>
      <c r="T239" s="97" t="n"/>
      <c r="U239" s="97" t="n"/>
      <c r="V239" s="97" t="n"/>
      <c r="W239" s="97" t="n"/>
      <c r="X239" s="97" t="n"/>
      <c r="Y239" s="97" t="n"/>
      <c r="Z239" s="97" t="n"/>
      <c r="AA239" s="97" t="n"/>
      <c r="AB239" s="97" t="n"/>
      <c r="AC239" s="97" t="n"/>
      <c r="AD239" s="97" t="n"/>
      <c r="AE239" s="97" t="n"/>
      <c r="AF239" s="97" t="n"/>
      <c r="AG239" s="97" t="n"/>
      <c r="AH239" s="97" t="n"/>
      <c r="AI239" s="97" t="n"/>
      <c r="AJ239" s="97" t="n"/>
      <c r="AK239" s="97" t="n"/>
      <c r="AL239" s="97" t="n"/>
      <c r="AM239" s="97" t="n"/>
      <c r="AN239" s="97" t="n"/>
      <c r="AO239" s="97" t="n"/>
      <c r="AP239" s="97" t="n"/>
      <c r="AQ239" s="97" t="n"/>
      <c r="AR239" s="97" t="n"/>
      <c r="AS239" s="97" t="n"/>
      <c r="AT239" s="97" t="n"/>
      <c r="AU239" s="97" t="n"/>
      <c r="AV239" s="97" t="n"/>
      <c r="AW239" s="97" t="n"/>
      <c r="AX239" s="97" t="n"/>
      <c r="AY239" s="97" t="n"/>
      <c r="AZ239" s="97" t="n"/>
      <c r="BA239" s="97" t="n"/>
      <c r="BB239" s="97" t="n"/>
    </row>
    <row r="240" ht="22" customHeight="1" s="110">
      <c r="A240" s="96" t="n"/>
      <c r="B240" s="96" t="n"/>
      <c r="C240" s="96" t="n"/>
      <c r="D240" s="96" t="n"/>
      <c r="E240" s="96" t="n"/>
      <c r="F240" s="96" t="n"/>
      <c r="G240" s="96" t="n"/>
      <c r="H240" s="96" t="n"/>
      <c r="I240" s="96" t="n"/>
      <c r="J240" s="96" t="n"/>
      <c r="L240" s="96" t="n"/>
      <c r="M240" s="96" t="n"/>
      <c r="N240" s="96" t="n"/>
      <c r="O240" s="96" t="n"/>
      <c r="Q240" s="96" t="n"/>
      <c r="R240" s="96" t="n"/>
      <c r="S240" s="96" t="n"/>
      <c r="T240" s="96" t="n"/>
      <c r="U240" s="96" t="n"/>
      <c r="V240" s="96" t="n"/>
      <c r="W240" s="96" t="n"/>
      <c r="X240" s="96" t="n"/>
      <c r="Y240" s="96" t="n"/>
      <c r="Z240" s="96" t="n"/>
      <c r="AA240" s="96" t="n"/>
      <c r="AB240" s="96" t="n"/>
      <c r="AC240" s="96" t="n"/>
      <c r="AD240" s="96" t="n"/>
      <c r="AE240" s="96" t="n"/>
      <c r="AF240" s="96" t="n"/>
      <c r="AG240" s="96" t="n"/>
      <c r="AH240" s="96" t="n"/>
      <c r="AI240" s="96" t="n"/>
      <c r="AJ240" s="96" t="n"/>
      <c r="AK240" s="96" t="n"/>
      <c r="AL240" s="96" t="n"/>
      <c r="AM240" s="96" t="n"/>
      <c r="AN240" s="96" t="n"/>
      <c r="AO240" s="96" t="n"/>
      <c r="AP240" s="96" t="n"/>
      <c r="AQ240" s="96" t="n"/>
      <c r="AR240" s="96" t="n"/>
      <c r="AS240" s="96" t="n"/>
      <c r="AT240" s="96" t="n"/>
      <c r="AU240" s="96" t="n"/>
      <c r="AV240" s="96" t="n"/>
      <c r="AW240" s="96" t="n"/>
      <c r="AX240" s="96" t="n"/>
      <c r="AY240" s="96" t="n"/>
      <c r="AZ240" s="96" t="n"/>
      <c r="BA240" s="96" t="n"/>
      <c r="BB240" s="96" t="n"/>
    </row>
    <row r="241" ht="22" customHeight="1" s="110">
      <c r="A241" s="97" t="n"/>
      <c r="B241" s="97" t="n"/>
      <c r="C241" s="97" t="n"/>
      <c r="D241" s="97" t="n"/>
      <c r="E241" s="97" t="n"/>
      <c r="F241" s="97" t="n"/>
      <c r="G241" s="97" t="n"/>
      <c r="H241" s="97" t="n"/>
      <c r="I241" s="97" t="n"/>
      <c r="J241" s="97" t="n"/>
      <c r="L241" s="97" t="n"/>
      <c r="M241" s="97" t="n"/>
      <c r="N241" s="97" t="n"/>
      <c r="O241" s="97" t="n"/>
      <c r="Q241" s="97" t="n"/>
      <c r="R241" s="97" t="n"/>
      <c r="S241" s="97" t="n"/>
      <c r="T241" s="97" t="n"/>
      <c r="U241" s="97" t="n"/>
      <c r="V241" s="97" t="n"/>
      <c r="W241" s="97" t="n"/>
      <c r="X241" s="97" t="n"/>
      <c r="Y241" s="97" t="n"/>
      <c r="Z241" s="97" t="n"/>
      <c r="AA241" s="97" t="n"/>
      <c r="AB241" s="97" t="n"/>
      <c r="AC241" s="97" t="n"/>
      <c r="AD241" s="97" t="n"/>
      <c r="AE241" s="97" t="n"/>
      <c r="AF241" s="97" t="n"/>
      <c r="AG241" s="97" t="n"/>
      <c r="AH241" s="97" t="n"/>
      <c r="AI241" s="97" t="n"/>
      <c r="AJ241" s="97" t="n"/>
      <c r="AK241" s="97" t="n"/>
      <c r="AL241" s="97" t="n"/>
      <c r="AM241" s="97" t="n"/>
      <c r="AN241" s="97" t="n"/>
      <c r="AO241" s="97" t="n"/>
      <c r="AP241" s="97" t="n"/>
      <c r="AQ241" s="97" t="n"/>
      <c r="AR241" s="97" t="n"/>
      <c r="AS241" s="97" t="n"/>
      <c r="AT241" s="97" t="n"/>
      <c r="AU241" s="97" t="n"/>
      <c r="AV241" s="97" t="n"/>
      <c r="AW241" s="97" t="n"/>
      <c r="AX241" s="97" t="n"/>
      <c r="AY241" s="97" t="n"/>
      <c r="AZ241" s="97" t="n"/>
      <c r="BA241" s="97" t="n"/>
      <c r="BB241" s="97" t="n"/>
    </row>
    <row r="242" ht="22" customHeight="1" s="110">
      <c r="A242" s="96" t="n"/>
      <c r="B242" s="96" t="n"/>
      <c r="C242" s="96" t="n"/>
      <c r="D242" s="96" t="n"/>
      <c r="E242" s="96" t="n"/>
      <c r="F242" s="96" t="n"/>
      <c r="G242" s="96" t="n"/>
      <c r="H242" s="96" t="n"/>
      <c r="I242" s="96" t="n"/>
      <c r="J242" s="96" t="n"/>
      <c r="L242" s="96" t="n"/>
      <c r="M242" s="96" t="n"/>
      <c r="N242" s="96" t="n"/>
      <c r="O242" s="96" t="n"/>
      <c r="Q242" s="96" t="n"/>
      <c r="R242" s="96" t="n"/>
      <c r="S242" s="96" t="n"/>
      <c r="T242" s="96" t="n"/>
      <c r="U242" s="96" t="n"/>
      <c r="V242" s="96" t="n"/>
      <c r="W242" s="96" t="n"/>
      <c r="X242" s="96" t="n"/>
      <c r="Y242" s="96" t="n"/>
      <c r="Z242" s="96" t="n"/>
      <c r="AA242" s="96" t="n"/>
      <c r="AB242" s="96" t="n"/>
      <c r="AC242" s="96" t="n"/>
      <c r="AD242" s="96" t="n"/>
      <c r="AE242" s="96" t="n"/>
      <c r="AF242" s="96" t="n"/>
      <c r="AG242" s="96" t="n"/>
      <c r="AH242" s="96" t="n"/>
      <c r="AI242" s="96" t="n"/>
      <c r="AJ242" s="96" t="n"/>
      <c r="AK242" s="96" t="n"/>
      <c r="AL242" s="96" t="n"/>
      <c r="AM242" s="96" t="n"/>
      <c r="AN242" s="96" t="n"/>
      <c r="AO242" s="96" t="n"/>
      <c r="AP242" s="96" t="n"/>
      <c r="AQ242" s="96" t="n"/>
      <c r="AR242" s="96" t="n"/>
      <c r="AS242" s="96" t="n"/>
      <c r="AT242" s="96" t="n"/>
      <c r="AU242" s="96" t="n"/>
      <c r="AV242" s="96" t="n"/>
      <c r="AW242" s="96" t="n"/>
      <c r="AX242" s="96" t="n"/>
      <c r="AY242" s="96" t="n"/>
      <c r="AZ242" s="96" t="n"/>
      <c r="BA242" s="96" t="n"/>
      <c r="BB242" s="96" t="n"/>
    </row>
    <row r="243" ht="22" customHeight="1" s="110">
      <c r="A243" s="97" t="n"/>
      <c r="B243" s="97" t="n"/>
      <c r="C243" s="97" t="n"/>
      <c r="D243" s="97" t="n"/>
      <c r="E243" s="97" t="n"/>
      <c r="F243" s="97" t="n"/>
      <c r="G243" s="97" t="n"/>
      <c r="H243" s="97" t="n"/>
      <c r="I243" s="97" t="n"/>
      <c r="J243" s="97" t="n"/>
      <c r="L243" s="97" t="n"/>
      <c r="M243" s="97" t="n"/>
      <c r="N243" s="97" t="n"/>
      <c r="O243" s="97" t="n"/>
      <c r="Q243" s="97" t="n"/>
      <c r="R243" s="97" t="n"/>
      <c r="S243" s="97" t="n"/>
      <c r="T243" s="97" t="n"/>
      <c r="U243" s="97" t="n"/>
      <c r="V243" s="97" t="n"/>
      <c r="W243" s="97" t="n"/>
      <c r="X243" s="97" t="n"/>
      <c r="Y243" s="97" t="n"/>
      <c r="Z243" s="97" t="n"/>
      <c r="AA243" s="97" t="n"/>
      <c r="AB243" s="97" t="n"/>
      <c r="AC243" s="97" t="n"/>
      <c r="AD243" s="97" t="n"/>
      <c r="AE243" s="97" t="n"/>
      <c r="AF243" s="97" t="n"/>
      <c r="AG243" s="97" t="n"/>
      <c r="AH243" s="97" t="n"/>
      <c r="AI243" s="97" t="n"/>
      <c r="AJ243" s="97" t="n"/>
      <c r="AK243" s="97" t="n"/>
      <c r="AL243" s="97" t="n"/>
      <c r="AM243" s="97" t="n"/>
      <c r="AN243" s="97" t="n"/>
      <c r="AO243" s="97" t="n"/>
      <c r="AP243" s="97" t="n"/>
      <c r="AQ243" s="97" t="n"/>
      <c r="AR243" s="97" t="n"/>
      <c r="AS243" s="97" t="n"/>
      <c r="AT243" s="97" t="n"/>
      <c r="AU243" s="97" t="n"/>
      <c r="AV243" s="97" t="n"/>
      <c r="AW243" s="97" t="n"/>
      <c r="AX243" s="97" t="n"/>
      <c r="AY243" s="97" t="n"/>
      <c r="AZ243" s="97" t="n"/>
      <c r="BA243" s="97" t="n"/>
      <c r="BB243" s="97" t="n"/>
    </row>
    <row r="244" ht="22" customHeight="1" s="110">
      <c r="A244" s="96" t="n"/>
      <c r="B244" s="96" t="n"/>
      <c r="C244" s="96" t="n"/>
      <c r="D244" s="96" t="n"/>
      <c r="E244" s="96" t="n"/>
      <c r="F244" s="96" t="n"/>
      <c r="G244" s="96" t="n"/>
      <c r="H244" s="96" t="n"/>
      <c r="I244" s="96" t="n"/>
      <c r="J244" s="96" t="n"/>
      <c r="L244" s="96" t="n"/>
      <c r="M244" s="96" t="n"/>
      <c r="N244" s="96" t="n"/>
      <c r="O244" s="96" t="n"/>
      <c r="Q244" s="96" t="n"/>
      <c r="R244" s="96" t="n"/>
      <c r="S244" s="96" t="n"/>
      <c r="T244" s="96" t="n"/>
      <c r="U244" s="96" t="n"/>
      <c r="V244" s="96" t="n"/>
      <c r="W244" s="96" t="n"/>
      <c r="X244" s="96" t="n"/>
      <c r="Y244" s="96" t="n"/>
      <c r="Z244" s="96" t="n"/>
      <c r="AA244" s="96" t="n"/>
      <c r="AB244" s="96" t="n"/>
      <c r="AC244" s="96" t="n"/>
      <c r="AD244" s="96" t="n"/>
      <c r="AE244" s="96" t="n"/>
      <c r="AF244" s="96" t="n"/>
      <c r="AG244" s="96" t="n"/>
      <c r="AH244" s="96" t="n"/>
      <c r="AI244" s="96" t="n"/>
      <c r="AJ244" s="96" t="n"/>
      <c r="AK244" s="96" t="n"/>
      <c r="AL244" s="96" t="n"/>
      <c r="AM244" s="96" t="n"/>
      <c r="AN244" s="96" t="n"/>
      <c r="AO244" s="96" t="n"/>
      <c r="AP244" s="96" t="n"/>
      <c r="AQ244" s="96" t="n"/>
      <c r="AR244" s="96" t="n"/>
      <c r="AS244" s="96" t="n"/>
      <c r="AT244" s="96" t="n"/>
      <c r="AU244" s="96" t="n"/>
      <c r="AV244" s="96" t="n"/>
      <c r="AW244" s="96" t="n"/>
      <c r="AX244" s="96" t="n"/>
      <c r="AY244" s="96" t="n"/>
      <c r="AZ244" s="96" t="n"/>
      <c r="BA244" s="96" t="n"/>
      <c r="BB244" s="96" t="n"/>
    </row>
    <row r="245" ht="22" customHeight="1" s="110">
      <c r="A245" s="97" t="n"/>
      <c r="B245" s="97" t="n"/>
      <c r="C245" s="97" t="n"/>
      <c r="D245" s="97" t="n"/>
      <c r="E245" s="97" t="n"/>
      <c r="F245" s="97" t="n"/>
      <c r="G245" s="97" t="n"/>
      <c r="H245" s="97" t="n"/>
      <c r="I245" s="97" t="n"/>
      <c r="J245" s="97" t="n"/>
      <c r="L245" s="97" t="n"/>
      <c r="M245" s="97" t="n"/>
      <c r="N245" s="97" t="n"/>
      <c r="O245" s="97" t="n"/>
      <c r="Q245" s="97" t="n"/>
      <c r="R245" s="97" t="n"/>
      <c r="S245" s="97" t="n"/>
      <c r="T245" s="97" t="n"/>
      <c r="U245" s="97" t="n"/>
      <c r="V245" s="97" t="n"/>
      <c r="W245" s="97" t="n"/>
      <c r="X245" s="97" t="n"/>
      <c r="Y245" s="97" t="n"/>
      <c r="Z245" s="97" t="n"/>
      <c r="AA245" s="97" t="n"/>
      <c r="AB245" s="97" t="n"/>
      <c r="AC245" s="97" t="n"/>
      <c r="AD245" s="97" t="n"/>
      <c r="AE245" s="97" t="n"/>
      <c r="AF245" s="97" t="n"/>
      <c r="AG245" s="97" t="n"/>
      <c r="AH245" s="97" t="n"/>
      <c r="AI245" s="97" t="n"/>
      <c r="AJ245" s="97" t="n"/>
      <c r="AK245" s="97" t="n"/>
      <c r="AL245" s="97" t="n"/>
      <c r="AM245" s="97" t="n"/>
      <c r="AN245" s="97" t="n"/>
      <c r="AO245" s="97" t="n"/>
      <c r="AP245" s="97" t="n"/>
      <c r="AQ245" s="97" t="n"/>
      <c r="AR245" s="97" t="n"/>
      <c r="AS245" s="97" t="n"/>
      <c r="AT245" s="97" t="n"/>
      <c r="AU245" s="97" t="n"/>
      <c r="AV245" s="97" t="n"/>
      <c r="AW245" s="97" t="n"/>
      <c r="AX245" s="97" t="n"/>
      <c r="AY245" s="97" t="n"/>
      <c r="AZ245" s="97" t="n"/>
      <c r="BA245" s="97" t="n"/>
      <c r="BB245" s="97" t="n"/>
    </row>
    <row r="246" ht="22" customHeight="1" s="110">
      <c r="A246" s="96" t="n"/>
      <c r="B246" s="96" t="n"/>
      <c r="C246" s="96" t="n"/>
      <c r="D246" s="96" t="n"/>
      <c r="E246" s="96" t="n"/>
      <c r="F246" s="96" t="n"/>
      <c r="G246" s="96" t="n"/>
      <c r="H246" s="96" t="n"/>
      <c r="I246" s="96" t="n"/>
      <c r="J246" s="96" t="n"/>
      <c r="L246" s="96" t="n"/>
      <c r="M246" s="96" t="n"/>
      <c r="N246" s="96" t="n"/>
      <c r="O246" s="96" t="n"/>
      <c r="Q246" s="96" t="n"/>
      <c r="R246" s="96" t="n"/>
      <c r="S246" s="96" t="n"/>
      <c r="T246" s="96" t="n"/>
      <c r="U246" s="96" t="n"/>
      <c r="V246" s="96" t="n"/>
      <c r="W246" s="96" t="n"/>
      <c r="X246" s="96" t="n"/>
      <c r="Y246" s="96" t="n"/>
      <c r="Z246" s="96" t="n"/>
      <c r="AA246" s="96" t="n"/>
      <c r="AB246" s="96" t="n"/>
      <c r="AC246" s="96" t="n"/>
      <c r="AD246" s="96" t="n"/>
      <c r="AE246" s="96" t="n"/>
      <c r="AF246" s="96" t="n"/>
      <c r="AG246" s="96" t="n"/>
      <c r="AH246" s="96" t="n"/>
      <c r="AI246" s="96" t="n"/>
      <c r="AJ246" s="96" t="n"/>
      <c r="AK246" s="96" t="n"/>
      <c r="AL246" s="96" t="n"/>
      <c r="AM246" s="96" t="n"/>
      <c r="AN246" s="96" t="n"/>
      <c r="AO246" s="96" t="n"/>
      <c r="AP246" s="96" t="n"/>
      <c r="AQ246" s="96" t="n"/>
      <c r="AR246" s="96" t="n"/>
      <c r="AS246" s="96" t="n"/>
      <c r="AT246" s="96" t="n"/>
      <c r="AU246" s="96" t="n"/>
      <c r="AV246" s="96" t="n"/>
      <c r="AW246" s="96" t="n"/>
      <c r="AX246" s="96" t="n"/>
      <c r="AY246" s="96" t="n"/>
      <c r="AZ246" s="96" t="n"/>
      <c r="BA246" s="96" t="n"/>
      <c r="BB246" s="96" t="n"/>
    </row>
    <row r="247" ht="22" customHeight="1" s="110">
      <c r="A247" s="97" t="n"/>
      <c r="B247" s="97" t="n"/>
      <c r="C247" s="97" t="n"/>
      <c r="D247" s="97" t="n"/>
      <c r="E247" s="97" t="n"/>
      <c r="F247" s="97" t="n"/>
      <c r="G247" s="97" t="n"/>
      <c r="H247" s="97" t="n"/>
      <c r="I247" s="97" t="n"/>
      <c r="J247" s="97" t="n"/>
      <c r="L247" s="97" t="n"/>
      <c r="M247" s="97" t="n"/>
      <c r="N247" s="97" t="n"/>
      <c r="O247" s="97" t="n"/>
      <c r="Q247" s="97" t="n"/>
      <c r="R247" s="97" t="n"/>
      <c r="S247" s="97" t="n"/>
      <c r="T247" s="97" t="n"/>
      <c r="U247" s="97" t="n"/>
      <c r="V247" s="97" t="n"/>
      <c r="W247" s="97" t="n"/>
      <c r="X247" s="97" t="n"/>
      <c r="Y247" s="97" t="n"/>
      <c r="Z247" s="97" t="n"/>
      <c r="AA247" s="97" t="n"/>
      <c r="AB247" s="97" t="n"/>
      <c r="AC247" s="97" t="n"/>
      <c r="AD247" s="97" t="n"/>
      <c r="AE247" s="97" t="n"/>
      <c r="AF247" s="97" t="n"/>
      <c r="AG247" s="97" t="n"/>
      <c r="AH247" s="97" t="n"/>
      <c r="AI247" s="97" t="n"/>
      <c r="AJ247" s="97" t="n"/>
      <c r="AK247" s="97" t="n"/>
      <c r="AL247" s="97" t="n"/>
      <c r="AM247" s="97" t="n"/>
      <c r="AN247" s="97" t="n"/>
      <c r="AO247" s="97" t="n"/>
      <c r="AP247" s="97" t="n"/>
      <c r="AQ247" s="97" t="n"/>
      <c r="AR247" s="97" t="n"/>
      <c r="AS247" s="97" t="n"/>
      <c r="AT247" s="97" t="n"/>
      <c r="AU247" s="97" t="n"/>
      <c r="AV247" s="97" t="n"/>
      <c r="AW247" s="97" t="n"/>
      <c r="AX247" s="97" t="n"/>
      <c r="AY247" s="97" t="n"/>
      <c r="AZ247" s="97" t="n"/>
      <c r="BA247" s="97" t="n"/>
      <c r="BB247" s="97" t="n"/>
    </row>
    <row r="248" ht="22" customHeight="1" s="110">
      <c r="A248" s="96" t="n"/>
      <c r="B248" s="96" t="n"/>
      <c r="C248" s="96" t="n"/>
      <c r="D248" s="96" t="n"/>
      <c r="E248" s="96" t="n"/>
      <c r="F248" s="96" t="n"/>
      <c r="G248" s="96" t="n"/>
      <c r="H248" s="96" t="n"/>
      <c r="I248" s="96" t="n"/>
      <c r="J248" s="96" t="n"/>
      <c r="L248" s="96" t="n"/>
      <c r="M248" s="96" t="n"/>
      <c r="N248" s="96" t="n"/>
      <c r="O248" s="96" t="n"/>
      <c r="Q248" s="96" t="n"/>
      <c r="R248" s="96" t="n"/>
      <c r="S248" s="96" t="n"/>
      <c r="T248" s="96" t="n"/>
      <c r="U248" s="96" t="n"/>
      <c r="V248" s="96" t="n"/>
      <c r="W248" s="96" t="n"/>
      <c r="X248" s="96" t="n"/>
      <c r="Y248" s="96" t="n"/>
      <c r="Z248" s="96" t="n"/>
      <c r="AA248" s="96" t="n"/>
      <c r="AB248" s="96" t="n"/>
      <c r="AC248" s="96" t="n"/>
      <c r="AD248" s="96" t="n"/>
      <c r="AE248" s="96" t="n"/>
      <c r="AF248" s="96" t="n"/>
      <c r="AG248" s="96" t="n"/>
      <c r="AH248" s="96" t="n"/>
      <c r="AI248" s="96" t="n"/>
      <c r="AJ248" s="96" t="n"/>
      <c r="AK248" s="96" t="n"/>
      <c r="AL248" s="96" t="n"/>
      <c r="AM248" s="96" t="n"/>
      <c r="AN248" s="96" t="n"/>
      <c r="AO248" s="96" t="n"/>
      <c r="AP248" s="96" t="n"/>
      <c r="AQ248" s="96" t="n"/>
      <c r="AR248" s="96" t="n"/>
      <c r="AS248" s="96" t="n"/>
      <c r="AT248" s="96" t="n"/>
      <c r="AU248" s="96" t="n"/>
      <c r="AV248" s="96" t="n"/>
      <c r="AW248" s="96" t="n"/>
      <c r="AX248" s="96" t="n"/>
      <c r="AY248" s="96" t="n"/>
      <c r="AZ248" s="96" t="n"/>
      <c r="BA248" s="96" t="n"/>
      <c r="BB248" s="96" t="n"/>
    </row>
    <row r="249" ht="22" customHeight="1" s="110">
      <c r="A249" s="97" t="n"/>
      <c r="B249" s="97" t="n"/>
      <c r="C249" s="97" t="n"/>
      <c r="D249" s="97" t="n"/>
      <c r="E249" s="97" t="n"/>
      <c r="F249" s="97" t="n"/>
      <c r="G249" s="97" t="n"/>
      <c r="H249" s="97" t="n"/>
      <c r="I249" s="97" t="n"/>
      <c r="J249" s="97" t="n"/>
      <c r="L249" s="97" t="n"/>
      <c r="M249" s="97" t="n"/>
      <c r="N249" s="97" t="n"/>
      <c r="O249" s="97" t="n"/>
      <c r="Q249" s="97" t="n"/>
      <c r="R249" s="97" t="n"/>
      <c r="S249" s="97" t="n"/>
      <c r="T249" s="97" t="n"/>
      <c r="U249" s="97" t="n"/>
      <c r="V249" s="97" t="n"/>
      <c r="W249" s="97" t="n"/>
      <c r="X249" s="97" t="n"/>
      <c r="Y249" s="97" t="n"/>
      <c r="Z249" s="97" t="n"/>
      <c r="AA249" s="97" t="n"/>
      <c r="AB249" s="97" t="n"/>
      <c r="AC249" s="97" t="n"/>
      <c r="AD249" s="97" t="n"/>
      <c r="AE249" s="97" t="n"/>
      <c r="AF249" s="97" t="n"/>
      <c r="AG249" s="97" t="n"/>
      <c r="AH249" s="97" t="n"/>
      <c r="AI249" s="97" t="n"/>
      <c r="AJ249" s="97" t="n"/>
      <c r="AK249" s="97" t="n"/>
      <c r="AL249" s="97" t="n"/>
      <c r="AM249" s="97" t="n"/>
      <c r="AN249" s="97" t="n"/>
      <c r="AO249" s="97" t="n"/>
      <c r="AP249" s="97" t="n"/>
      <c r="AQ249" s="97" t="n"/>
      <c r="AR249" s="97" t="n"/>
      <c r="AS249" s="97" t="n"/>
      <c r="AT249" s="97" t="n"/>
      <c r="AU249" s="97" t="n"/>
      <c r="AV249" s="97" t="n"/>
      <c r="AW249" s="97" t="n"/>
      <c r="AX249" s="97" t="n"/>
      <c r="AY249" s="97" t="n"/>
      <c r="AZ249" s="97" t="n"/>
      <c r="BA249" s="97" t="n"/>
      <c r="BB249" s="97" t="n"/>
    </row>
    <row r="250" ht="22" customHeight="1" s="110">
      <c r="A250" s="96" t="n"/>
      <c r="B250" s="96" t="n"/>
      <c r="C250" s="96" t="n"/>
      <c r="D250" s="96" t="n"/>
      <c r="E250" s="96" t="n"/>
      <c r="F250" s="96" t="n"/>
      <c r="G250" s="96" t="n"/>
      <c r="H250" s="96" t="n"/>
      <c r="I250" s="96" t="n"/>
      <c r="J250" s="96" t="n"/>
      <c r="L250" s="96" t="n"/>
      <c r="M250" s="96" t="n"/>
      <c r="N250" s="96" t="n"/>
      <c r="O250" s="96" t="n"/>
      <c r="Q250" s="96" t="n"/>
      <c r="R250" s="96" t="n"/>
      <c r="S250" s="96" t="n"/>
      <c r="T250" s="96" t="n"/>
      <c r="U250" s="96" t="n"/>
      <c r="V250" s="96" t="n"/>
      <c r="W250" s="96" t="n"/>
      <c r="X250" s="96" t="n"/>
      <c r="Y250" s="96" t="n"/>
      <c r="Z250" s="96" t="n"/>
      <c r="AA250" s="96" t="n"/>
      <c r="AB250" s="96" t="n"/>
      <c r="AC250" s="96" t="n"/>
      <c r="AD250" s="96" t="n"/>
      <c r="AE250" s="96" t="n"/>
      <c r="AF250" s="96" t="n"/>
      <c r="AG250" s="96" t="n"/>
      <c r="AH250" s="96" t="n"/>
      <c r="AI250" s="96" t="n"/>
      <c r="AJ250" s="96" t="n"/>
      <c r="AK250" s="96" t="n"/>
      <c r="AL250" s="96" t="n"/>
      <c r="AM250" s="96" t="n"/>
      <c r="AN250" s="96" t="n"/>
      <c r="AO250" s="96" t="n"/>
      <c r="AP250" s="96" t="n"/>
      <c r="AQ250" s="96" t="n"/>
      <c r="AR250" s="96" t="n"/>
      <c r="AS250" s="96" t="n"/>
      <c r="AT250" s="96" t="n"/>
      <c r="AU250" s="96" t="n"/>
      <c r="AV250" s="96" t="n"/>
      <c r="AW250" s="96" t="n"/>
      <c r="AX250" s="96" t="n"/>
      <c r="AY250" s="96" t="n"/>
      <c r="AZ250" s="96" t="n"/>
      <c r="BA250" s="96" t="n"/>
      <c r="BB250" s="96" t="n"/>
    </row>
    <row r="251" ht="22" customHeight="1" s="110">
      <c r="A251" s="97" t="n"/>
      <c r="B251" s="97" t="n"/>
      <c r="C251" s="97" t="n"/>
      <c r="D251" s="97" t="n"/>
      <c r="E251" s="97" t="n"/>
      <c r="F251" s="97" t="n"/>
      <c r="G251" s="97" t="n"/>
      <c r="H251" s="97" t="n"/>
      <c r="I251" s="97" t="n"/>
      <c r="J251" s="97" t="n"/>
      <c r="L251" s="97" t="n"/>
      <c r="M251" s="97" t="n"/>
      <c r="N251" s="97" t="n"/>
      <c r="O251" s="97" t="n"/>
      <c r="Q251" s="97" t="n"/>
      <c r="R251" s="97" t="n"/>
      <c r="S251" s="97" t="n"/>
      <c r="T251" s="97" t="n"/>
      <c r="U251" s="97" t="n"/>
      <c r="V251" s="97" t="n"/>
      <c r="W251" s="97" t="n"/>
      <c r="X251" s="97" t="n"/>
      <c r="Y251" s="97" t="n"/>
      <c r="Z251" s="97" t="n"/>
      <c r="AA251" s="97" t="n"/>
      <c r="AB251" s="97" t="n"/>
      <c r="AC251" s="97" t="n"/>
      <c r="AD251" s="97" t="n"/>
      <c r="AE251" s="97" t="n"/>
      <c r="AF251" s="97" t="n"/>
      <c r="AG251" s="97" t="n"/>
      <c r="AH251" s="97" t="n"/>
      <c r="AI251" s="97" t="n"/>
      <c r="AJ251" s="97" t="n"/>
      <c r="AK251" s="97" t="n"/>
      <c r="AL251" s="97" t="n"/>
      <c r="AM251" s="97" t="n"/>
      <c r="AN251" s="97" t="n"/>
      <c r="AO251" s="97" t="n"/>
      <c r="AP251" s="97" t="n"/>
      <c r="AQ251" s="97" t="n"/>
      <c r="AR251" s="97" t="n"/>
      <c r="AS251" s="97" t="n"/>
      <c r="AT251" s="97" t="n"/>
      <c r="AU251" s="97" t="n"/>
      <c r="AV251" s="97" t="n"/>
      <c r="AW251" s="97" t="n"/>
      <c r="AX251" s="97" t="n"/>
      <c r="AY251" s="97" t="n"/>
      <c r="AZ251" s="97" t="n"/>
      <c r="BA251" s="97" t="n"/>
      <c r="BB251" s="97" t="n"/>
    </row>
    <row r="252" ht="22" customHeight="1" s="110">
      <c r="A252" s="96" t="n"/>
      <c r="B252" s="96" t="n"/>
      <c r="C252" s="96" t="n"/>
      <c r="D252" s="96" t="n"/>
      <c r="E252" s="96" t="n"/>
      <c r="F252" s="96" t="n"/>
      <c r="G252" s="96" t="n"/>
      <c r="H252" s="96" t="n"/>
      <c r="I252" s="96" t="n"/>
      <c r="J252" s="96" t="n"/>
      <c r="L252" s="96" t="n"/>
      <c r="M252" s="96" t="n"/>
      <c r="N252" s="96" t="n"/>
      <c r="O252" s="96" t="n"/>
      <c r="Q252" s="96" t="n"/>
      <c r="R252" s="96" t="n"/>
      <c r="S252" s="96" t="n"/>
      <c r="T252" s="96" t="n"/>
      <c r="U252" s="96" t="n"/>
      <c r="V252" s="96" t="n"/>
      <c r="W252" s="96" t="n"/>
      <c r="X252" s="96" t="n"/>
      <c r="Y252" s="96" t="n"/>
      <c r="Z252" s="96" t="n"/>
      <c r="AA252" s="96" t="n"/>
      <c r="AB252" s="96" t="n"/>
      <c r="AC252" s="96" t="n"/>
      <c r="AD252" s="96" t="n"/>
      <c r="AE252" s="96" t="n"/>
      <c r="AF252" s="96" t="n"/>
      <c r="AG252" s="96" t="n"/>
      <c r="AH252" s="96" t="n"/>
      <c r="AI252" s="96" t="n"/>
      <c r="AJ252" s="96" t="n"/>
      <c r="AK252" s="96" t="n"/>
      <c r="AL252" s="96" t="n"/>
      <c r="AM252" s="96" t="n"/>
      <c r="AN252" s="96" t="n"/>
      <c r="AO252" s="96" t="n"/>
      <c r="AP252" s="96" t="n"/>
      <c r="AQ252" s="96" t="n"/>
      <c r="AR252" s="96" t="n"/>
      <c r="AS252" s="96" t="n"/>
      <c r="AT252" s="96" t="n"/>
      <c r="AU252" s="96" t="n"/>
      <c r="AV252" s="96" t="n"/>
      <c r="AW252" s="96" t="n"/>
      <c r="AX252" s="96" t="n"/>
      <c r="AY252" s="96" t="n"/>
      <c r="AZ252" s="96" t="n"/>
      <c r="BA252" s="96" t="n"/>
      <c r="BB252" s="96" t="n"/>
    </row>
    <row r="253" ht="22" customHeight="1" s="110">
      <c r="A253" s="97" t="n"/>
      <c r="B253" s="97" t="n"/>
      <c r="C253" s="97" t="n"/>
      <c r="D253" s="97" t="n"/>
      <c r="E253" s="97" t="n"/>
      <c r="F253" s="97" t="n"/>
      <c r="G253" s="97" t="n"/>
      <c r="H253" s="97" t="n"/>
      <c r="I253" s="97" t="n"/>
      <c r="J253" s="97" t="n"/>
      <c r="L253" s="97" t="n"/>
      <c r="M253" s="97" t="n"/>
      <c r="N253" s="97" t="n"/>
      <c r="O253" s="97" t="n"/>
      <c r="Q253" s="97" t="n"/>
      <c r="R253" s="97" t="n"/>
      <c r="S253" s="97" t="n"/>
      <c r="T253" s="97" t="n"/>
      <c r="U253" s="97" t="n"/>
      <c r="V253" s="97" t="n"/>
      <c r="W253" s="97" t="n"/>
      <c r="X253" s="97" t="n"/>
      <c r="Y253" s="97" t="n"/>
      <c r="Z253" s="97" t="n"/>
      <c r="AA253" s="97" t="n"/>
      <c r="AB253" s="97" t="n"/>
      <c r="AC253" s="97" t="n"/>
      <c r="AD253" s="97" t="n"/>
      <c r="AE253" s="97" t="n"/>
      <c r="AF253" s="97" t="n"/>
      <c r="AG253" s="97" t="n"/>
      <c r="AH253" s="97" t="n"/>
      <c r="AI253" s="97" t="n"/>
      <c r="AJ253" s="97" t="n"/>
      <c r="AK253" s="97" t="n"/>
      <c r="AL253" s="97" t="n"/>
      <c r="AM253" s="97" t="n"/>
      <c r="AN253" s="97" t="n"/>
      <c r="AO253" s="97" t="n"/>
      <c r="AP253" s="97" t="n"/>
      <c r="AQ253" s="97" t="n"/>
      <c r="AR253" s="97" t="n"/>
      <c r="AS253" s="97" t="n"/>
      <c r="AT253" s="97" t="n"/>
      <c r="AU253" s="97" t="n"/>
      <c r="AV253" s="97" t="n"/>
      <c r="AW253" s="97" t="n"/>
      <c r="AX253" s="97" t="n"/>
      <c r="AY253" s="97" t="n"/>
      <c r="AZ253" s="97" t="n"/>
      <c r="BA253" s="97" t="n"/>
      <c r="BB253" s="97" t="n"/>
    </row>
    <row r="254" ht="22" customHeight="1" s="110">
      <c r="A254" s="96" t="n"/>
      <c r="B254" s="96" t="n"/>
      <c r="C254" s="96" t="n"/>
      <c r="D254" s="96" t="n"/>
      <c r="E254" s="96" t="n"/>
      <c r="F254" s="96" t="n"/>
      <c r="G254" s="96" t="n"/>
      <c r="H254" s="96" t="n"/>
      <c r="I254" s="96" t="n"/>
      <c r="J254" s="96" t="n"/>
      <c r="L254" s="96" t="n"/>
      <c r="M254" s="96" t="n"/>
      <c r="N254" s="96" t="n"/>
      <c r="O254" s="96" t="n"/>
      <c r="Q254" s="96" t="n"/>
      <c r="R254" s="96" t="n"/>
      <c r="S254" s="96" t="n"/>
      <c r="T254" s="96" t="n"/>
      <c r="U254" s="96" t="n"/>
      <c r="V254" s="96" t="n"/>
      <c r="W254" s="96" t="n"/>
      <c r="X254" s="96" t="n"/>
      <c r="Y254" s="96" t="n"/>
      <c r="Z254" s="96" t="n"/>
      <c r="AA254" s="96" t="n"/>
      <c r="AB254" s="96" t="n"/>
      <c r="AC254" s="96" t="n"/>
      <c r="AD254" s="96" t="n"/>
      <c r="AE254" s="96" t="n"/>
      <c r="AF254" s="96" t="n"/>
      <c r="AG254" s="96" t="n"/>
      <c r="AH254" s="96" t="n"/>
      <c r="AI254" s="96" t="n"/>
      <c r="AJ254" s="96" t="n"/>
      <c r="AK254" s="96" t="n"/>
      <c r="AL254" s="96" t="n"/>
      <c r="AM254" s="96" t="n"/>
      <c r="AN254" s="96" t="n"/>
      <c r="AO254" s="96" t="n"/>
      <c r="AP254" s="96" t="n"/>
      <c r="AQ254" s="96" t="n"/>
      <c r="AR254" s="96" t="n"/>
      <c r="AS254" s="96" t="n"/>
      <c r="AT254" s="96" t="n"/>
      <c r="AU254" s="96" t="n"/>
      <c r="AV254" s="96" t="n"/>
      <c r="AW254" s="96" t="n"/>
      <c r="AX254" s="96" t="n"/>
      <c r="AY254" s="96" t="n"/>
      <c r="AZ254" s="96" t="n"/>
      <c r="BA254" s="96" t="n"/>
      <c r="BB254" s="96" t="n"/>
    </row>
    <row r="255" ht="22" customHeight="1" s="110">
      <c r="A255" s="97" t="n"/>
      <c r="B255" s="97" t="n"/>
      <c r="C255" s="97" t="n"/>
      <c r="D255" s="97" t="n"/>
      <c r="E255" s="97" t="n"/>
      <c r="F255" s="97" t="n"/>
      <c r="G255" s="97" t="n"/>
      <c r="H255" s="97" t="n"/>
      <c r="I255" s="97" t="n"/>
      <c r="J255" s="97" t="n"/>
      <c r="L255" s="97" t="n"/>
      <c r="M255" s="97" t="n"/>
      <c r="N255" s="97" t="n"/>
      <c r="O255" s="97" t="n"/>
      <c r="Q255" s="97" t="n"/>
      <c r="R255" s="97" t="n"/>
      <c r="S255" s="97" t="n"/>
      <c r="T255" s="97" t="n"/>
      <c r="U255" s="97" t="n"/>
      <c r="V255" s="97" t="n"/>
      <c r="W255" s="97" t="n"/>
      <c r="X255" s="97" t="n"/>
      <c r="Y255" s="97" t="n"/>
      <c r="Z255" s="97" t="n"/>
      <c r="AA255" s="97" t="n"/>
      <c r="AB255" s="97" t="n"/>
      <c r="AC255" s="97" t="n"/>
      <c r="AD255" s="97" t="n"/>
      <c r="AE255" s="97" t="n"/>
      <c r="AF255" s="97" t="n"/>
      <c r="AG255" s="97" t="n"/>
      <c r="AH255" s="97" t="n"/>
      <c r="AI255" s="97" t="n"/>
      <c r="AJ255" s="97" t="n"/>
      <c r="AK255" s="97" t="n"/>
      <c r="AL255" s="97" t="n"/>
      <c r="AM255" s="97" t="n"/>
      <c r="AN255" s="97" t="n"/>
      <c r="AO255" s="97" t="n"/>
      <c r="AP255" s="97" t="n"/>
      <c r="AQ255" s="97" t="n"/>
      <c r="AR255" s="97" t="n"/>
      <c r="AS255" s="97" t="n"/>
      <c r="AT255" s="97" t="n"/>
      <c r="AU255" s="97" t="n"/>
      <c r="AV255" s="97" t="n"/>
      <c r="AW255" s="97" t="n"/>
      <c r="AX255" s="97" t="n"/>
      <c r="AY255" s="97" t="n"/>
      <c r="AZ255" s="97" t="n"/>
      <c r="BA255" s="97" t="n"/>
      <c r="BB255" s="97" t="n"/>
    </row>
    <row r="256" ht="22" customHeight="1" s="110">
      <c r="A256" s="96" t="n"/>
      <c r="B256" s="96" t="n"/>
      <c r="C256" s="96" t="n"/>
      <c r="D256" s="96" t="n"/>
      <c r="E256" s="96" t="n"/>
      <c r="F256" s="96" t="n"/>
      <c r="G256" s="96" t="n"/>
      <c r="H256" s="96" t="n"/>
      <c r="I256" s="96" t="n"/>
      <c r="J256" s="96" t="n"/>
      <c r="L256" s="96" t="n"/>
      <c r="M256" s="96" t="n"/>
      <c r="N256" s="96" t="n"/>
      <c r="O256" s="96" t="n"/>
      <c r="Q256" s="96" t="n"/>
      <c r="R256" s="96" t="n"/>
      <c r="S256" s="96" t="n"/>
      <c r="T256" s="96" t="n"/>
      <c r="U256" s="96" t="n"/>
      <c r="V256" s="96" t="n"/>
      <c r="W256" s="96" t="n"/>
      <c r="X256" s="96" t="n"/>
      <c r="Y256" s="96" t="n"/>
      <c r="Z256" s="96" t="n"/>
      <c r="AA256" s="96" t="n"/>
      <c r="AB256" s="96" t="n"/>
      <c r="AC256" s="96" t="n"/>
      <c r="AD256" s="96" t="n"/>
      <c r="AE256" s="96" t="n"/>
      <c r="AF256" s="96" t="n"/>
      <c r="AG256" s="96" t="n"/>
      <c r="AH256" s="96" t="n"/>
      <c r="AI256" s="96" t="n"/>
      <c r="AJ256" s="96" t="n"/>
      <c r="AK256" s="96" t="n"/>
      <c r="AL256" s="96" t="n"/>
      <c r="AM256" s="96" t="n"/>
      <c r="AN256" s="96" t="n"/>
      <c r="AO256" s="96" t="n"/>
      <c r="AP256" s="96" t="n"/>
      <c r="AQ256" s="96" t="n"/>
      <c r="AR256" s="96" t="n"/>
      <c r="AS256" s="96" t="n"/>
      <c r="AT256" s="96" t="n"/>
      <c r="AU256" s="96" t="n"/>
      <c r="AV256" s="96" t="n"/>
      <c r="AW256" s="96" t="n"/>
      <c r="AX256" s="96" t="n"/>
      <c r="AY256" s="96" t="n"/>
      <c r="AZ256" s="96" t="n"/>
      <c r="BA256" s="96" t="n"/>
      <c r="BB256" s="96" t="n"/>
    </row>
    <row r="257" ht="22" customHeight="1" s="110">
      <c r="A257" s="97" t="n"/>
      <c r="B257" s="97" t="n"/>
      <c r="C257" s="97" t="n"/>
      <c r="D257" s="97" t="n"/>
      <c r="E257" s="97" t="n"/>
      <c r="F257" s="97" t="n"/>
      <c r="G257" s="97" t="n"/>
      <c r="H257" s="97" t="n"/>
      <c r="I257" s="97" t="n"/>
      <c r="J257" s="97" t="n"/>
      <c r="L257" s="97" t="n"/>
      <c r="M257" s="97" t="n"/>
      <c r="N257" s="97" t="n"/>
      <c r="O257" s="97" t="n"/>
      <c r="Q257" s="97" t="n"/>
      <c r="R257" s="97" t="n"/>
      <c r="S257" s="97" t="n"/>
      <c r="T257" s="97" t="n"/>
      <c r="U257" s="97" t="n"/>
      <c r="V257" s="97" t="n"/>
      <c r="W257" s="97" t="n"/>
      <c r="X257" s="97" t="n"/>
      <c r="Y257" s="97" t="n"/>
      <c r="Z257" s="97" t="n"/>
      <c r="AA257" s="97" t="n"/>
      <c r="AB257" s="97" t="n"/>
      <c r="AC257" s="97" t="n"/>
      <c r="AD257" s="97" t="n"/>
      <c r="AE257" s="97" t="n"/>
      <c r="AF257" s="97" t="n"/>
      <c r="AG257" s="97" t="n"/>
      <c r="AH257" s="97" t="n"/>
      <c r="AI257" s="97" t="n"/>
      <c r="AJ257" s="97" t="n"/>
      <c r="AK257" s="97" t="n"/>
      <c r="AL257" s="97" t="n"/>
      <c r="AM257" s="97" t="n"/>
      <c r="AN257" s="97" t="n"/>
      <c r="AO257" s="97" t="n"/>
      <c r="AP257" s="97" t="n"/>
      <c r="AQ257" s="97" t="n"/>
      <c r="AR257" s="97" t="n"/>
      <c r="AS257" s="97" t="n"/>
      <c r="AT257" s="97" t="n"/>
      <c r="AU257" s="97" t="n"/>
      <c r="AV257" s="97" t="n"/>
      <c r="AW257" s="97" t="n"/>
      <c r="AX257" s="97" t="n"/>
      <c r="AY257" s="97" t="n"/>
      <c r="AZ257" s="97" t="n"/>
      <c r="BA257" s="97" t="n"/>
      <c r="BB257" s="97" t="n"/>
    </row>
    <row r="258" ht="22" customHeight="1" s="110">
      <c r="A258" s="96" t="n"/>
      <c r="B258" s="96" t="n"/>
      <c r="C258" s="96" t="n"/>
      <c r="D258" s="96" t="n"/>
      <c r="E258" s="96" t="n"/>
      <c r="F258" s="96" t="n"/>
      <c r="G258" s="96" t="n"/>
      <c r="H258" s="96" t="n"/>
      <c r="I258" s="96" t="n"/>
      <c r="J258" s="96" t="n"/>
      <c r="L258" s="96" t="n"/>
      <c r="M258" s="96" t="n"/>
      <c r="N258" s="96" t="n"/>
      <c r="O258" s="96" t="n"/>
      <c r="Q258" s="96" t="n"/>
      <c r="R258" s="96" t="n"/>
      <c r="S258" s="96" t="n"/>
      <c r="T258" s="96" t="n"/>
      <c r="U258" s="96" t="n"/>
      <c r="V258" s="96" t="n"/>
      <c r="W258" s="96" t="n"/>
      <c r="X258" s="96" t="n"/>
      <c r="Y258" s="96" t="n"/>
      <c r="Z258" s="96" t="n"/>
      <c r="AA258" s="96" t="n"/>
      <c r="AB258" s="96" t="n"/>
      <c r="AC258" s="96" t="n"/>
      <c r="AD258" s="96" t="n"/>
      <c r="AE258" s="96" t="n"/>
      <c r="AF258" s="96" t="n"/>
      <c r="AG258" s="96" t="n"/>
      <c r="AH258" s="96" t="n"/>
      <c r="AI258" s="96" t="n"/>
      <c r="AJ258" s="96" t="n"/>
      <c r="AK258" s="96" t="n"/>
      <c r="AL258" s="96" t="n"/>
      <c r="AM258" s="96" t="n"/>
      <c r="AN258" s="96" t="n"/>
      <c r="AO258" s="96" t="n"/>
      <c r="AP258" s="96" t="n"/>
      <c r="AQ258" s="96" t="n"/>
      <c r="AR258" s="96" t="n"/>
      <c r="AS258" s="96" t="n"/>
      <c r="AT258" s="96" t="n"/>
      <c r="AU258" s="96" t="n"/>
      <c r="AV258" s="96" t="n"/>
      <c r="AW258" s="96" t="n"/>
      <c r="AX258" s="96" t="n"/>
      <c r="AY258" s="96" t="n"/>
      <c r="AZ258" s="96" t="n"/>
      <c r="BA258" s="96" t="n"/>
      <c r="BB258" s="96" t="n"/>
    </row>
    <row r="259" ht="22" customHeight="1" s="110">
      <c r="A259" s="97" t="n"/>
      <c r="B259" s="97" t="n"/>
      <c r="C259" s="97" t="n"/>
      <c r="D259" s="97" t="n"/>
      <c r="E259" s="97" t="n"/>
      <c r="F259" s="97" t="n"/>
      <c r="G259" s="97" t="n"/>
      <c r="H259" s="97" t="n"/>
      <c r="I259" s="97" t="n"/>
      <c r="J259" s="97" t="n"/>
      <c r="L259" s="97" t="n"/>
      <c r="M259" s="97" t="n"/>
      <c r="N259" s="97" t="n"/>
      <c r="O259" s="97" t="n"/>
      <c r="Q259" s="97" t="n"/>
      <c r="R259" s="97" t="n"/>
      <c r="S259" s="97" t="n"/>
      <c r="T259" s="97" t="n"/>
      <c r="U259" s="97" t="n"/>
      <c r="V259" s="97" t="n"/>
      <c r="W259" s="97" t="n"/>
      <c r="X259" s="97" t="n"/>
      <c r="Y259" s="97" t="n"/>
      <c r="Z259" s="97" t="n"/>
      <c r="AA259" s="97" t="n"/>
      <c r="AB259" s="97" t="n"/>
      <c r="AC259" s="97" t="n"/>
      <c r="AD259" s="97" t="n"/>
      <c r="AE259" s="97" t="n"/>
      <c r="AF259" s="97" t="n"/>
      <c r="AG259" s="97" t="n"/>
      <c r="AH259" s="97" t="n"/>
      <c r="AI259" s="97" t="n"/>
      <c r="AJ259" s="97" t="n"/>
      <c r="AK259" s="97" t="n"/>
      <c r="AL259" s="97" t="n"/>
      <c r="AM259" s="97" t="n"/>
      <c r="AN259" s="97" t="n"/>
      <c r="AO259" s="97" t="n"/>
      <c r="AP259" s="97" t="n"/>
      <c r="AQ259" s="97" t="n"/>
      <c r="AR259" s="97" t="n"/>
      <c r="AS259" s="97" t="n"/>
      <c r="AT259" s="97" t="n"/>
      <c r="AU259" s="97" t="n"/>
      <c r="AV259" s="97" t="n"/>
      <c r="AW259" s="97" t="n"/>
      <c r="AX259" s="97" t="n"/>
      <c r="AY259" s="97" t="n"/>
      <c r="AZ259" s="97" t="n"/>
      <c r="BA259" s="97" t="n"/>
      <c r="BB259" s="97" t="n"/>
    </row>
    <row r="260" ht="22" customHeight="1" s="110">
      <c r="A260" s="96" t="n"/>
      <c r="B260" s="96" t="n"/>
      <c r="C260" s="96" t="n"/>
      <c r="D260" s="96" t="n"/>
      <c r="E260" s="96" t="n"/>
      <c r="F260" s="96" t="n"/>
      <c r="G260" s="96" t="n"/>
      <c r="H260" s="96" t="n"/>
      <c r="I260" s="96" t="n"/>
      <c r="J260" s="96" t="n"/>
      <c r="L260" s="96" t="n"/>
      <c r="M260" s="96" t="n"/>
      <c r="N260" s="96" t="n"/>
      <c r="O260" s="96" t="n"/>
      <c r="Q260" s="96" t="n"/>
      <c r="R260" s="96" t="n"/>
      <c r="S260" s="96" t="n"/>
      <c r="T260" s="96" t="n"/>
      <c r="U260" s="96" t="n"/>
      <c r="V260" s="96" t="n"/>
      <c r="W260" s="96" t="n"/>
      <c r="X260" s="96" t="n"/>
      <c r="Y260" s="96" t="n"/>
      <c r="Z260" s="96" t="n"/>
      <c r="AA260" s="96" t="n"/>
      <c r="AB260" s="96" t="n"/>
      <c r="AC260" s="96" t="n"/>
      <c r="AD260" s="96" t="n"/>
      <c r="AE260" s="96" t="n"/>
      <c r="AF260" s="96" t="n"/>
      <c r="AG260" s="96" t="n"/>
      <c r="AH260" s="96" t="n"/>
      <c r="AI260" s="96" t="n"/>
      <c r="AJ260" s="96" t="n"/>
      <c r="AK260" s="96" t="n"/>
      <c r="AL260" s="96" t="n"/>
      <c r="AM260" s="96" t="n"/>
      <c r="AN260" s="96" t="n"/>
      <c r="AO260" s="96" t="n"/>
      <c r="AP260" s="96" t="n"/>
      <c r="AQ260" s="96" t="n"/>
      <c r="AR260" s="96" t="n"/>
      <c r="AS260" s="96" t="n"/>
      <c r="AT260" s="96" t="n"/>
      <c r="AU260" s="96" t="n"/>
      <c r="AV260" s="96" t="n"/>
      <c r="AW260" s="96" t="n"/>
      <c r="AX260" s="96" t="n"/>
      <c r="AY260" s="96" t="n"/>
      <c r="AZ260" s="96" t="n"/>
      <c r="BA260" s="96" t="n"/>
      <c r="BB260" s="96" t="n"/>
    </row>
    <row r="261" ht="22" customHeight="1" s="110">
      <c r="A261" s="97" t="n"/>
      <c r="B261" s="97" t="n"/>
      <c r="C261" s="97" t="n"/>
      <c r="D261" s="97" t="n"/>
      <c r="E261" s="97" t="n"/>
      <c r="F261" s="97" t="n"/>
      <c r="G261" s="97" t="n"/>
      <c r="H261" s="97" t="n"/>
      <c r="I261" s="97" t="n"/>
      <c r="J261" s="97" t="n"/>
      <c r="L261" s="97" t="n"/>
      <c r="M261" s="97" t="n"/>
      <c r="N261" s="97" t="n"/>
      <c r="O261" s="97" t="n"/>
      <c r="Q261" s="97" t="n"/>
      <c r="R261" s="97" t="n"/>
      <c r="S261" s="97" t="n"/>
      <c r="T261" s="97" t="n"/>
      <c r="U261" s="97" t="n"/>
      <c r="V261" s="97" t="n"/>
      <c r="W261" s="97" t="n"/>
      <c r="X261" s="97" t="n"/>
      <c r="Y261" s="97" t="n"/>
      <c r="Z261" s="97" t="n"/>
      <c r="AA261" s="97" t="n"/>
      <c r="AB261" s="97" t="n"/>
      <c r="AC261" s="97" t="n"/>
      <c r="AD261" s="97" t="n"/>
      <c r="AE261" s="97" t="n"/>
      <c r="AF261" s="97" t="n"/>
      <c r="AG261" s="97" t="n"/>
      <c r="AH261" s="97" t="n"/>
      <c r="AI261" s="97" t="n"/>
      <c r="AJ261" s="97" t="n"/>
      <c r="AK261" s="97" t="n"/>
      <c r="AL261" s="97" t="n"/>
      <c r="AM261" s="97" t="n"/>
      <c r="AN261" s="97" t="n"/>
      <c r="AO261" s="97" t="n"/>
      <c r="AP261" s="97" t="n"/>
      <c r="AQ261" s="97" t="n"/>
      <c r="AR261" s="97" t="n"/>
      <c r="AS261" s="97" t="n"/>
      <c r="AT261" s="97" t="n"/>
      <c r="AU261" s="97" t="n"/>
      <c r="AV261" s="97" t="n"/>
      <c r="AW261" s="97" t="n"/>
      <c r="AX261" s="97" t="n"/>
      <c r="AY261" s="97" t="n"/>
      <c r="AZ261" s="97" t="n"/>
      <c r="BA261" s="97" t="n"/>
      <c r="BB261" s="97" t="n"/>
    </row>
    <row r="262" ht="22" customHeight="1" s="110">
      <c r="A262" s="96" t="n"/>
      <c r="B262" s="96" t="n"/>
      <c r="C262" s="96" t="n"/>
      <c r="D262" s="96" t="n"/>
      <c r="E262" s="96" t="n"/>
      <c r="F262" s="96" t="n"/>
      <c r="G262" s="96" t="n"/>
      <c r="H262" s="96" t="n"/>
      <c r="I262" s="96" t="n"/>
      <c r="J262" s="96" t="n"/>
      <c r="L262" s="96" t="n"/>
      <c r="M262" s="96" t="n"/>
      <c r="N262" s="96" t="n"/>
      <c r="O262" s="96" t="n"/>
      <c r="Q262" s="96" t="n"/>
      <c r="R262" s="96" t="n"/>
      <c r="S262" s="96" t="n"/>
      <c r="T262" s="96" t="n"/>
      <c r="U262" s="96" t="n"/>
      <c r="V262" s="96" t="n"/>
      <c r="W262" s="96" t="n"/>
      <c r="X262" s="96" t="n"/>
      <c r="Y262" s="96" t="n"/>
      <c r="Z262" s="96" t="n"/>
      <c r="AA262" s="96" t="n"/>
      <c r="AB262" s="96" t="n"/>
      <c r="AC262" s="96" t="n"/>
      <c r="AD262" s="96" t="n"/>
      <c r="AE262" s="96" t="n"/>
      <c r="AF262" s="96" t="n"/>
      <c r="AG262" s="96" t="n"/>
      <c r="AH262" s="96" t="n"/>
      <c r="AI262" s="96" t="n"/>
      <c r="AJ262" s="96" t="n"/>
      <c r="AK262" s="96" t="n"/>
      <c r="AL262" s="96" t="n"/>
      <c r="AM262" s="96" t="n"/>
      <c r="AN262" s="96" t="n"/>
      <c r="AO262" s="96" t="n"/>
      <c r="AP262" s="96" t="n"/>
      <c r="AQ262" s="96" t="n"/>
      <c r="AR262" s="96" t="n"/>
      <c r="AS262" s="96" t="n"/>
      <c r="AT262" s="96" t="n"/>
      <c r="AU262" s="96" t="n"/>
      <c r="AV262" s="96" t="n"/>
      <c r="AW262" s="96" t="n"/>
      <c r="AX262" s="96" t="n"/>
      <c r="AY262" s="96" t="n"/>
      <c r="AZ262" s="96" t="n"/>
      <c r="BA262" s="96" t="n"/>
      <c r="BB262" s="96" t="n"/>
    </row>
    <row r="263" ht="22" customHeight="1" s="110">
      <c r="A263" s="97" t="n"/>
      <c r="B263" s="97" t="n"/>
      <c r="C263" s="97" t="n"/>
      <c r="D263" s="97" t="n"/>
      <c r="E263" s="97" t="n"/>
      <c r="F263" s="97" t="n"/>
      <c r="G263" s="97" t="n"/>
      <c r="H263" s="97" t="n"/>
      <c r="I263" s="97" t="n"/>
      <c r="J263" s="97" t="n"/>
      <c r="L263" s="97" t="n"/>
      <c r="M263" s="97" t="n"/>
      <c r="N263" s="97" t="n"/>
      <c r="O263" s="97" t="n"/>
      <c r="Q263" s="97" t="n"/>
      <c r="R263" s="97" t="n"/>
      <c r="S263" s="97" t="n"/>
      <c r="T263" s="97" t="n"/>
      <c r="U263" s="97" t="n"/>
      <c r="V263" s="97" t="n"/>
      <c r="W263" s="97" t="n"/>
      <c r="X263" s="97" t="n"/>
      <c r="Y263" s="97" t="n"/>
      <c r="Z263" s="97" t="n"/>
      <c r="AA263" s="97" t="n"/>
      <c r="AB263" s="97" t="n"/>
      <c r="AC263" s="97" t="n"/>
      <c r="AD263" s="97" t="n"/>
      <c r="AE263" s="97" t="n"/>
      <c r="AF263" s="97" t="n"/>
      <c r="AG263" s="97" t="n"/>
      <c r="AH263" s="97" t="n"/>
      <c r="AI263" s="97" t="n"/>
      <c r="AJ263" s="97" t="n"/>
      <c r="AK263" s="97" t="n"/>
      <c r="AL263" s="97" t="n"/>
      <c r="AM263" s="97" t="n"/>
      <c r="AN263" s="97" t="n"/>
      <c r="AO263" s="97" t="n"/>
      <c r="AP263" s="97" t="n"/>
      <c r="AQ263" s="97" t="n"/>
      <c r="AR263" s="97" t="n"/>
      <c r="AS263" s="97" t="n"/>
      <c r="AT263" s="97" t="n"/>
      <c r="AU263" s="97" t="n"/>
      <c r="AV263" s="97" t="n"/>
      <c r="AW263" s="97" t="n"/>
      <c r="AX263" s="97" t="n"/>
      <c r="AY263" s="97" t="n"/>
      <c r="AZ263" s="97" t="n"/>
      <c r="BA263" s="97" t="n"/>
      <c r="BB263" s="97" t="n"/>
    </row>
    <row r="264" ht="22" customHeight="1" s="110">
      <c r="A264" s="96" t="n"/>
      <c r="B264" s="96" t="n"/>
      <c r="C264" s="96" t="n"/>
      <c r="D264" s="96" t="n"/>
      <c r="E264" s="96" t="n"/>
      <c r="F264" s="96" t="n"/>
      <c r="G264" s="96" t="n"/>
      <c r="H264" s="96" t="n"/>
      <c r="I264" s="96" t="n"/>
      <c r="J264" s="96" t="n"/>
      <c r="L264" s="96" t="n"/>
      <c r="M264" s="96" t="n"/>
      <c r="N264" s="96" t="n"/>
      <c r="O264" s="96" t="n"/>
      <c r="Q264" s="96" t="n"/>
      <c r="R264" s="96" t="n"/>
      <c r="S264" s="96" t="n"/>
      <c r="T264" s="96" t="n"/>
      <c r="U264" s="96" t="n"/>
      <c r="V264" s="96" t="n"/>
      <c r="W264" s="96" t="n"/>
      <c r="X264" s="96" t="n"/>
      <c r="Y264" s="96" t="n"/>
      <c r="Z264" s="96" t="n"/>
      <c r="AA264" s="96" t="n"/>
      <c r="AB264" s="96" t="n"/>
      <c r="AC264" s="96" t="n"/>
      <c r="AD264" s="96" t="n"/>
      <c r="AE264" s="96" t="n"/>
      <c r="AF264" s="96" t="n"/>
      <c r="AG264" s="96" t="n"/>
      <c r="AH264" s="96" t="n"/>
      <c r="AI264" s="96" t="n"/>
      <c r="AJ264" s="96" t="n"/>
      <c r="AK264" s="96" t="n"/>
      <c r="AL264" s="96" t="n"/>
      <c r="AM264" s="96" t="n"/>
      <c r="AN264" s="96" t="n"/>
      <c r="AO264" s="96" t="n"/>
      <c r="AP264" s="96" t="n"/>
      <c r="AQ264" s="96" t="n"/>
      <c r="AR264" s="96" t="n"/>
      <c r="AS264" s="96" t="n"/>
      <c r="AT264" s="96" t="n"/>
      <c r="AU264" s="96" t="n"/>
      <c r="AV264" s="96" t="n"/>
      <c r="AW264" s="96" t="n"/>
      <c r="AX264" s="96" t="n"/>
      <c r="AY264" s="96" t="n"/>
      <c r="AZ264" s="96" t="n"/>
      <c r="BA264" s="96" t="n"/>
      <c r="BB264" s="96" t="n"/>
    </row>
    <row r="265" ht="22" customHeight="1" s="110">
      <c r="A265" s="97" t="n"/>
      <c r="B265" s="97" t="n"/>
      <c r="C265" s="97" t="n"/>
      <c r="D265" s="97" t="n"/>
      <c r="E265" s="97" t="n"/>
      <c r="F265" s="97" t="n"/>
      <c r="G265" s="97" t="n"/>
      <c r="H265" s="97" t="n"/>
      <c r="I265" s="97" t="n"/>
      <c r="J265" s="97" t="n"/>
      <c r="L265" s="97" t="n"/>
      <c r="M265" s="97" t="n"/>
      <c r="N265" s="97" t="n"/>
      <c r="O265" s="97" t="n"/>
      <c r="Q265" s="97" t="n"/>
      <c r="R265" s="97" t="n"/>
      <c r="S265" s="97" t="n"/>
      <c r="T265" s="97" t="n"/>
      <c r="U265" s="97" t="n"/>
      <c r="V265" s="97" t="n"/>
      <c r="W265" s="97" t="n"/>
      <c r="X265" s="97" t="n"/>
      <c r="Y265" s="97" t="n"/>
      <c r="Z265" s="97" t="n"/>
      <c r="AA265" s="97" t="n"/>
      <c r="AB265" s="97" t="n"/>
      <c r="AC265" s="97" t="n"/>
      <c r="AD265" s="97" t="n"/>
      <c r="AE265" s="97" t="n"/>
      <c r="AF265" s="97" t="n"/>
      <c r="AG265" s="97" t="n"/>
      <c r="AH265" s="97" t="n"/>
      <c r="AI265" s="97" t="n"/>
      <c r="AJ265" s="97" t="n"/>
      <c r="AK265" s="97" t="n"/>
      <c r="AL265" s="97" t="n"/>
      <c r="AM265" s="97" t="n"/>
      <c r="AN265" s="97" t="n"/>
      <c r="AO265" s="97" t="n"/>
      <c r="AP265" s="97" t="n"/>
      <c r="AQ265" s="97" t="n"/>
      <c r="AR265" s="97" t="n"/>
      <c r="AS265" s="97" t="n"/>
      <c r="AT265" s="97" t="n"/>
      <c r="AU265" s="97" t="n"/>
      <c r="AV265" s="97" t="n"/>
      <c r="AW265" s="97" t="n"/>
      <c r="AX265" s="97" t="n"/>
      <c r="AY265" s="97" t="n"/>
      <c r="AZ265" s="97" t="n"/>
      <c r="BA265" s="97" t="n"/>
      <c r="BB265" s="97" t="n"/>
    </row>
    <row r="266" ht="22" customHeight="1" s="110">
      <c r="A266" s="96" t="n"/>
      <c r="B266" s="96" t="n"/>
      <c r="C266" s="96" t="n"/>
      <c r="D266" s="96" t="n"/>
      <c r="E266" s="96" t="n"/>
      <c r="F266" s="96" t="n"/>
      <c r="G266" s="96" t="n"/>
      <c r="H266" s="96" t="n"/>
      <c r="I266" s="96" t="n"/>
      <c r="J266" s="96" t="n"/>
      <c r="L266" s="96" t="n"/>
      <c r="M266" s="96" t="n"/>
      <c r="N266" s="96" t="n"/>
      <c r="O266" s="96" t="n"/>
      <c r="Q266" s="96" t="n"/>
      <c r="R266" s="96" t="n"/>
      <c r="S266" s="96" t="n"/>
      <c r="T266" s="96" t="n"/>
      <c r="U266" s="96" t="n"/>
      <c r="V266" s="96" t="n"/>
      <c r="W266" s="96" t="n"/>
      <c r="X266" s="96" t="n"/>
      <c r="Y266" s="96" t="n"/>
      <c r="Z266" s="96" t="n"/>
      <c r="AA266" s="96" t="n"/>
      <c r="AB266" s="96" t="n"/>
      <c r="AC266" s="96" t="n"/>
      <c r="AD266" s="96" t="n"/>
      <c r="AE266" s="96" t="n"/>
      <c r="AF266" s="96" t="n"/>
      <c r="AG266" s="96" t="n"/>
      <c r="AH266" s="96" t="n"/>
      <c r="AI266" s="96" t="n"/>
      <c r="AJ266" s="96" t="n"/>
      <c r="AK266" s="96" t="n"/>
      <c r="AL266" s="96" t="n"/>
      <c r="AM266" s="96" t="n"/>
      <c r="AN266" s="96" t="n"/>
      <c r="AO266" s="96" t="n"/>
      <c r="AP266" s="96" t="n"/>
      <c r="AQ266" s="96" t="n"/>
      <c r="AR266" s="96" t="n"/>
      <c r="AS266" s="96" t="n"/>
      <c r="AT266" s="96" t="n"/>
      <c r="AU266" s="96" t="n"/>
      <c r="AV266" s="96" t="n"/>
      <c r="AW266" s="96" t="n"/>
      <c r="AX266" s="96" t="n"/>
      <c r="AY266" s="96" t="n"/>
      <c r="AZ266" s="96" t="n"/>
      <c r="BA266" s="96" t="n"/>
      <c r="BB266" s="96" t="n"/>
    </row>
    <row r="267" ht="22" customHeight="1" s="110">
      <c r="A267" s="97" t="n"/>
      <c r="B267" s="97" t="n"/>
      <c r="C267" s="97" t="n"/>
      <c r="D267" s="97" t="n"/>
      <c r="E267" s="97" t="n"/>
      <c r="F267" s="97" t="n"/>
      <c r="G267" s="97" t="n"/>
      <c r="H267" s="97" t="n"/>
      <c r="I267" s="97" t="n"/>
      <c r="J267" s="97" t="n"/>
      <c r="L267" s="97" t="n"/>
      <c r="M267" s="97" t="n"/>
      <c r="N267" s="97" t="n"/>
      <c r="O267" s="97" t="n"/>
      <c r="Q267" s="97" t="n"/>
      <c r="R267" s="97" t="n"/>
      <c r="S267" s="97" t="n"/>
      <c r="T267" s="97" t="n"/>
      <c r="U267" s="97" t="n"/>
      <c r="V267" s="97" t="n"/>
      <c r="W267" s="97" t="n"/>
      <c r="X267" s="97" t="n"/>
      <c r="Y267" s="97" t="n"/>
      <c r="Z267" s="97" t="n"/>
      <c r="AA267" s="97" t="n"/>
      <c r="AB267" s="97" t="n"/>
      <c r="AC267" s="97" t="n"/>
      <c r="AD267" s="97" t="n"/>
      <c r="AE267" s="97" t="n"/>
      <c r="AF267" s="97" t="n"/>
      <c r="AG267" s="97" t="n"/>
      <c r="AH267" s="97" t="n"/>
      <c r="AI267" s="97" t="n"/>
      <c r="AJ267" s="97" t="n"/>
      <c r="AK267" s="97" t="n"/>
      <c r="AL267" s="97" t="n"/>
      <c r="AM267" s="97" t="n"/>
      <c r="AN267" s="97" t="n"/>
      <c r="AO267" s="97" t="n"/>
      <c r="AP267" s="97" t="n"/>
      <c r="AQ267" s="97" t="n"/>
      <c r="AR267" s="97" t="n"/>
      <c r="AS267" s="97" t="n"/>
      <c r="AT267" s="97" t="n"/>
      <c r="AU267" s="97" t="n"/>
      <c r="AV267" s="97" t="n"/>
      <c r="AW267" s="97" t="n"/>
      <c r="AX267" s="97" t="n"/>
      <c r="AY267" s="97" t="n"/>
      <c r="AZ267" s="97" t="n"/>
      <c r="BA267" s="97" t="n"/>
      <c r="BB267" s="97" t="n"/>
    </row>
    <row r="268" ht="22" customHeight="1" s="110">
      <c r="A268" s="96" t="n"/>
      <c r="B268" s="96" t="n"/>
      <c r="C268" s="96" t="n"/>
      <c r="D268" s="96" t="n"/>
      <c r="E268" s="96" t="n"/>
      <c r="F268" s="96" t="n"/>
      <c r="G268" s="96" t="n"/>
      <c r="H268" s="96" t="n"/>
      <c r="I268" s="96" t="n"/>
      <c r="J268" s="96" t="n"/>
      <c r="L268" s="96" t="n"/>
      <c r="M268" s="96" t="n"/>
      <c r="N268" s="96" t="n"/>
      <c r="O268" s="96" t="n"/>
      <c r="Q268" s="96" t="n"/>
      <c r="R268" s="96" t="n"/>
      <c r="S268" s="96" t="n"/>
      <c r="T268" s="96" t="n"/>
      <c r="U268" s="96" t="n"/>
      <c r="V268" s="96" t="n"/>
      <c r="W268" s="96" t="n"/>
      <c r="X268" s="96" t="n"/>
      <c r="Y268" s="96" t="n"/>
      <c r="Z268" s="96" t="n"/>
      <c r="AA268" s="96" t="n"/>
      <c r="AB268" s="96" t="n"/>
      <c r="AC268" s="96" t="n"/>
      <c r="AD268" s="96" t="n"/>
      <c r="AE268" s="96" t="n"/>
      <c r="AF268" s="96" t="n"/>
      <c r="AG268" s="96" t="n"/>
      <c r="AH268" s="96" t="n"/>
      <c r="AI268" s="96" t="n"/>
      <c r="AJ268" s="96" t="n"/>
      <c r="AK268" s="96" t="n"/>
      <c r="AL268" s="96" t="n"/>
      <c r="AM268" s="96" t="n"/>
      <c r="AN268" s="96" t="n"/>
      <c r="AO268" s="96" t="n"/>
      <c r="AP268" s="96" t="n"/>
      <c r="AQ268" s="96" t="n"/>
      <c r="AR268" s="96" t="n"/>
      <c r="AS268" s="96" t="n"/>
      <c r="AT268" s="96" t="n"/>
      <c r="AU268" s="96" t="n"/>
      <c r="AV268" s="96" t="n"/>
      <c r="AW268" s="96" t="n"/>
      <c r="AX268" s="96" t="n"/>
      <c r="AY268" s="96" t="n"/>
      <c r="AZ268" s="96" t="n"/>
      <c r="BA268" s="96" t="n"/>
      <c r="BB268" s="96" t="n"/>
    </row>
    <row r="269" ht="22" customHeight="1" s="110">
      <c r="A269" s="97" t="n"/>
      <c r="B269" s="97" t="n"/>
      <c r="C269" s="97" t="n"/>
      <c r="D269" s="97" t="n"/>
      <c r="E269" s="97" t="n"/>
      <c r="F269" s="97" t="n"/>
      <c r="G269" s="97" t="n"/>
      <c r="H269" s="97" t="n"/>
      <c r="I269" s="97" t="n"/>
      <c r="J269" s="97" t="n"/>
      <c r="L269" s="97" t="n"/>
      <c r="M269" s="97" t="n"/>
      <c r="N269" s="97" t="n"/>
      <c r="O269" s="97" t="n"/>
      <c r="Q269" s="97" t="n"/>
      <c r="R269" s="97" t="n"/>
      <c r="S269" s="97" t="n"/>
      <c r="T269" s="97" t="n"/>
      <c r="U269" s="97" t="n"/>
      <c r="V269" s="97" t="n"/>
      <c r="W269" s="97" t="n"/>
      <c r="X269" s="97" t="n"/>
      <c r="Y269" s="97" t="n"/>
      <c r="Z269" s="97" t="n"/>
      <c r="AA269" s="97" t="n"/>
      <c r="AB269" s="97" t="n"/>
      <c r="AC269" s="97" t="n"/>
      <c r="AD269" s="97" t="n"/>
      <c r="AE269" s="97" t="n"/>
      <c r="AF269" s="97" t="n"/>
      <c r="AG269" s="97" t="n"/>
      <c r="AH269" s="97" t="n"/>
      <c r="AI269" s="97" t="n"/>
      <c r="AJ269" s="97" t="n"/>
      <c r="AK269" s="97" t="n"/>
      <c r="AL269" s="97" t="n"/>
      <c r="AM269" s="97" t="n"/>
      <c r="AN269" s="97" t="n"/>
      <c r="AO269" s="97" t="n"/>
      <c r="AP269" s="97" t="n"/>
      <c r="AQ269" s="97" t="n"/>
      <c r="AR269" s="97" t="n"/>
      <c r="AS269" s="97" t="n"/>
      <c r="AT269" s="97" t="n"/>
      <c r="AU269" s="97" t="n"/>
      <c r="AV269" s="97" t="n"/>
      <c r="AW269" s="97" t="n"/>
      <c r="AX269" s="97" t="n"/>
      <c r="AY269" s="97" t="n"/>
      <c r="AZ269" s="97" t="n"/>
      <c r="BA269" s="97" t="n"/>
      <c r="BB269" s="97" t="n"/>
    </row>
    <row r="270" ht="22" customHeight="1" s="110">
      <c r="A270" s="96" t="n"/>
      <c r="B270" s="96" t="n"/>
      <c r="C270" s="96" t="n"/>
      <c r="D270" s="96" t="n"/>
      <c r="E270" s="96" t="n"/>
      <c r="F270" s="96" t="n"/>
      <c r="G270" s="96" t="n"/>
      <c r="H270" s="96" t="n"/>
      <c r="I270" s="96" t="n"/>
      <c r="J270" s="96" t="n"/>
      <c r="L270" s="96" t="n"/>
      <c r="M270" s="96" t="n"/>
      <c r="N270" s="96" t="n"/>
      <c r="O270" s="96" t="n"/>
      <c r="Q270" s="96" t="n"/>
      <c r="R270" s="96" t="n"/>
      <c r="S270" s="96" t="n"/>
      <c r="T270" s="96" t="n"/>
      <c r="U270" s="96" t="n"/>
      <c r="V270" s="96" t="n"/>
      <c r="W270" s="96" t="n"/>
      <c r="X270" s="96" t="n"/>
      <c r="Y270" s="96" t="n"/>
      <c r="Z270" s="96" t="n"/>
      <c r="AA270" s="96" t="n"/>
      <c r="AB270" s="96" t="n"/>
      <c r="AC270" s="96" t="n"/>
      <c r="AD270" s="96" t="n"/>
      <c r="AE270" s="96" t="n"/>
      <c r="AF270" s="96" t="n"/>
      <c r="AG270" s="96" t="n"/>
      <c r="AH270" s="96" t="n"/>
      <c r="AI270" s="96" t="n"/>
      <c r="AJ270" s="96" t="n"/>
      <c r="AK270" s="96" t="n"/>
      <c r="AL270" s="96" t="n"/>
      <c r="AM270" s="96" t="n"/>
      <c r="AN270" s="96" t="n"/>
      <c r="AO270" s="96" t="n"/>
      <c r="AP270" s="96" t="n"/>
      <c r="AQ270" s="96" t="n"/>
      <c r="AR270" s="96" t="n"/>
      <c r="AS270" s="96" t="n"/>
      <c r="AT270" s="96" t="n"/>
      <c r="AU270" s="96" t="n"/>
      <c r="AV270" s="96" t="n"/>
      <c r="AW270" s="96" t="n"/>
      <c r="AX270" s="96" t="n"/>
      <c r="AY270" s="96" t="n"/>
      <c r="AZ270" s="96" t="n"/>
      <c r="BA270" s="96" t="n"/>
      <c r="BB270" s="96" t="n"/>
    </row>
    <row r="271" ht="22" customHeight="1" s="110">
      <c r="A271" s="97" t="n"/>
      <c r="B271" s="97" t="n"/>
      <c r="C271" s="97" t="n"/>
      <c r="D271" s="97" t="n"/>
      <c r="E271" s="97" t="n"/>
      <c r="F271" s="97" t="n"/>
      <c r="G271" s="97" t="n"/>
      <c r="H271" s="97" t="n"/>
      <c r="I271" s="97" t="n"/>
      <c r="J271" s="97" t="n"/>
      <c r="L271" s="97" t="n"/>
      <c r="M271" s="97" t="n"/>
      <c r="N271" s="97" t="n"/>
      <c r="O271" s="97" t="n"/>
      <c r="Q271" s="97" t="n"/>
      <c r="R271" s="97" t="n"/>
      <c r="S271" s="97" t="n"/>
      <c r="T271" s="97" t="n"/>
      <c r="U271" s="97" t="n"/>
      <c r="V271" s="97" t="n"/>
      <c r="W271" s="97" t="n"/>
      <c r="X271" s="97" t="n"/>
      <c r="Y271" s="97" t="n"/>
      <c r="Z271" s="97" t="n"/>
      <c r="AA271" s="97" t="n"/>
      <c r="AB271" s="97" t="n"/>
      <c r="AC271" s="97" t="n"/>
      <c r="AD271" s="97" t="n"/>
      <c r="AE271" s="97" t="n"/>
      <c r="AF271" s="97" t="n"/>
      <c r="AG271" s="97" t="n"/>
      <c r="AH271" s="97" t="n"/>
      <c r="AI271" s="97" t="n"/>
      <c r="AJ271" s="97" t="n"/>
      <c r="AK271" s="97" t="n"/>
      <c r="AL271" s="97" t="n"/>
      <c r="AM271" s="97" t="n"/>
      <c r="AN271" s="97" t="n"/>
      <c r="AO271" s="97" t="n"/>
      <c r="AP271" s="97" t="n"/>
      <c r="AQ271" s="97" t="n"/>
      <c r="AR271" s="97" t="n"/>
      <c r="AS271" s="97" t="n"/>
      <c r="AT271" s="97" t="n"/>
      <c r="AU271" s="97" t="n"/>
      <c r="AV271" s="97" t="n"/>
      <c r="AW271" s="97" t="n"/>
      <c r="AX271" s="97" t="n"/>
      <c r="AY271" s="97" t="n"/>
      <c r="AZ271" s="97" t="n"/>
      <c r="BA271" s="97" t="n"/>
      <c r="BB271" s="97" t="n"/>
    </row>
    <row r="272" ht="22" customHeight="1" s="110">
      <c r="A272" s="96" t="n"/>
      <c r="B272" s="96" t="n"/>
      <c r="C272" s="96" t="n"/>
      <c r="D272" s="96" t="n"/>
      <c r="E272" s="96" t="n"/>
      <c r="F272" s="96" t="n"/>
      <c r="G272" s="96" t="n"/>
      <c r="H272" s="96" t="n"/>
      <c r="I272" s="96" t="n"/>
      <c r="J272" s="96" t="n"/>
      <c r="L272" s="96" t="n"/>
      <c r="M272" s="96" t="n"/>
      <c r="N272" s="96" t="n"/>
      <c r="O272" s="96" t="n"/>
      <c r="Q272" s="96" t="n"/>
      <c r="R272" s="96" t="n"/>
      <c r="S272" s="96" t="n"/>
      <c r="T272" s="96" t="n"/>
      <c r="U272" s="96" t="n"/>
      <c r="V272" s="96" t="n"/>
      <c r="W272" s="96" t="n"/>
      <c r="X272" s="96" t="n"/>
      <c r="Y272" s="96" t="n"/>
      <c r="Z272" s="96" t="n"/>
      <c r="AA272" s="96" t="n"/>
      <c r="AB272" s="96" t="n"/>
      <c r="AC272" s="96" t="n"/>
      <c r="AD272" s="96" t="n"/>
      <c r="AE272" s="96" t="n"/>
      <c r="AF272" s="96" t="n"/>
      <c r="AG272" s="96" t="n"/>
      <c r="AH272" s="96" t="n"/>
      <c r="AI272" s="96" t="n"/>
      <c r="AJ272" s="96" t="n"/>
      <c r="AK272" s="96" t="n"/>
      <c r="AL272" s="96" t="n"/>
      <c r="AM272" s="96" t="n"/>
      <c r="AN272" s="96" t="n"/>
      <c r="AO272" s="96" t="n"/>
      <c r="AP272" s="96" t="n"/>
      <c r="AQ272" s="96" t="n"/>
      <c r="AR272" s="96" t="n"/>
      <c r="AS272" s="96" t="n"/>
      <c r="AT272" s="96" t="n"/>
      <c r="AU272" s="96" t="n"/>
      <c r="AV272" s="96" t="n"/>
      <c r="AW272" s="96" t="n"/>
      <c r="AX272" s="96" t="n"/>
      <c r="AY272" s="96" t="n"/>
      <c r="AZ272" s="96" t="n"/>
      <c r="BA272" s="96" t="n"/>
      <c r="BB272" s="96" t="n"/>
    </row>
    <row r="273" ht="22" customHeight="1" s="110">
      <c r="A273" s="97" t="n"/>
      <c r="B273" s="97" t="n"/>
      <c r="C273" s="97" t="n"/>
      <c r="D273" s="97" t="n"/>
      <c r="E273" s="97" t="n"/>
      <c r="F273" s="97" t="n"/>
      <c r="G273" s="97" t="n"/>
      <c r="H273" s="97" t="n"/>
      <c r="I273" s="97" t="n"/>
      <c r="J273" s="97" t="n"/>
      <c r="L273" s="97" t="n"/>
      <c r="M273" s="97" t="n"/>
      <c r="N273" s="97" t="n"/>
      <c r="O273" s="97" t="n"/>
      <c r="Q273" s="97" t="n"/>
      <c r="R273" s="97" t="n"/>
      <c r="S273" s="97" t="n"/>
      <c r="T273" s="97" t="n"/>
      <c r="U273" s="97" t="n"/>
      <c r="V273" s="97" t="n"/>
      <c r="W273" s="97" t="n"/>
      <c r="X273" s="97" t="n"/>
      <c r="Y273" s="97" t="n"/>
      <c r="Z273" s="97" t="n"/>
      <c r="AA273" s="97" t="n"/>
      <c r="AB273" s="97" t="n"/>
      <c r="AC273" s="97" t="n"/>
      <c r="AD273" s="97" t="n"/>
      <c r="AE273" s="97" t="n"/>
      <c r="AF273" s="97" t="n"/>
      <c r="AG273" s="97" t="n"/>
      <c r="AH273" s="97" t="n"/>
      <c r="AI273" s="97" t="n"/>
      <c r="AJ273" s="97" t="n"/>
      <c r="AK273" s="97" t="n"/>
      <c r="AL273" s="97" t="n"/>
      <c r="AM273" s="97" t="n"/>
      <c r="AN273" s="97" t="n"/>
      <c r="AO273" s="97" t="n"/>
      <c r="AP273" s="97" t="n"/>
      <c r="AQ273" s="97" t="n"/>
      <c r="AR273" s="97" t="n"/>
      <c r="AS273" s="97" t="n"/>
      <c r="AT273" s="97" t="n"/>
      <c r="AU273" s="97" t="n"/>
      <c r="AV273" s="97" t="n"/>
      <c r="AW273" s="97" t="n"/>
      <c r="AX273" s="97" t="n"/>
      <c r="AY273" s="97" t="n"/>
      <c r="AZ273" s="97" t="n"/>
      <c r="BA273" s="97" t="n"/>
      <c r="BB273" s="97" t="n"/>
    </row>
    <row r="274" ht="22" customHeight="1" s="110">
      <c r="A274" s="96" t="n"/>
      <c r="B274" s="96" t="n"/>
      <c r="C274" s="96" t="n"/>
      <c r="D274" s="96" t="n"/>
      <c r="E274" s="96" t="n"/>
      <c r="F274" s="96" t="n"/>
      <c r="G274" s="96" t="n"/>
      <c r="H274" s="96" t="n"/>
      <c r="I274" s="96" t="n"/>
      <c r="J274" s="96" t="n"/>
      <c r="L274" s="96" t="n"/>
      <c r="M274" s="96" t="n"/>
      <c r="N274" s="96" t="n"/>
      <c r="O274" s="96" t="n"/>
      <c r="Q274" s="96" t="n"/>
      <c r="R274" s="96" t="n"/>
      <c r="S274" s="96" t="n"/>
      <c r="T274" s="96" t="n"/>
      <c r="U274" s="96" t="n"/>
      <c r="V274" s="96" t="n"/>
      <c r="W274" s="96" t="n"/>
      <c r="X274" s="96" t="n"/>
      <c r="Y274" s="96" t="n"/>
      <c r="Z274" s="96" t="n"/>
      <c r="AA274" s="96" t="n"/>
      <c r="AB274" s="96" t="n"/>
      <c r="AC274" s="96" t="n"/>
      <c r="AD274" s="96" t="n"/>
      <c r="AE274" s="96" t="n"/>
      <c r="AF274" s="96" t="n"/>
      <c r="AG274" s="96" t="n"/>
      <c r="AH274" s="96" t="n"/>
      <c r="AI274" s="96" t="n"/>
      <c r="AJ274" s="96" t="n"/>
      <c r="AK274" s="96" t="n"/>
      <c r="AL274" s="96" t="n"/>
      <c r="AM274" s="96" t="n"/>
      <c r="AN274" s="96" t="n"/>
      <c r="AO274" s="96" t="n"/>
      <c r="AP274" s="96" t="n"/>
      <c r="AQ274" s="96" t="n"/>
      <c r="AR274" s="96" t="n"/>
      <c r="AS274" s="96" t="n"/>
      <c r="AT274" s="96" t="n"/>
      <c r="AU274" s="96" t="n"/>
      <c r="AV274" s="96" t="n"/>
      <c r="AW274" s="96" t="n"/>
      <c r="AX274" s="96" t="n"/>
      <c r="AY274" s="96" t="n"/>
      <c r="AZ274" s="96" t="n"/>
      <c r="BA274" s="96" t="n"/>
      <c r="BB274" s="96" t="n"/>
    </row>
    <row r="275" ht="22" customHeight="1" s="110">
      <c r="A275" s="97" t="n"/>
      <c r="B275" s="97" t="n"/>
      <c r="C275" s="97" t="n"/>
      <c r="D275" s="97" t="n"/>
      <c r="E275" s="97" t="n"/>
      <c r="F275" s="97" t="n"/>
      <c r="G275" s="97" t="n"/>
      <c r="H275" s="97" t="n"/>
      <c r="I275" s="97" t="n"/>
      <c r="J275" s="97" t="n"/>
      <c r="L275" s="97" t="n"/>
      <c r="M275" s="97" t="n"/>
      <c r="N275" s="97" t="n"/>
      <c r="O275" s="97" t="n"/>
      <c r="Q275" s="97" t="n"/>
      <c r="R275" s="97" t="n"/>
      <c r="S275" s="97" t="n"/>
      <c r="T275" s="97" t="n"/>
      <c r="U275" s="97" t="n"/>
      <c r="V275" s="97" t="n"/>
      <c r="W275" s="97" t="n"/>
      <c r="X275" s="97" t="n"/>
      <c r="Y275" s="97" t="n"/>
      <c r="Z275" s="97" t="n"/>
      <c r="AA275" s="97" t="n"/>
      <c r="AB275" s="97" t="n"/>
      <c r="AC275" s="97" t="n"/>
      <c r="AD275" s="97" t="n"/>
      <c r="AE275" s="97" t="n"/>
      <c r="AF275" s="97" t="n"/>
      <c r="AG275" s="97" t="n"/>
      <c r="AH275" s="97" t="n"/>
      <c r="AI275" s="97" t="n"/>
      <c r="AJ275" s="97" t="n"/>
      <c r="AK275" s="97" t="n"/>
      <c r="AL275" s="97" t="n"/>
      <c r="AM275" s="97" t="n"/>
      <c r="AN275" s="97" t="n"/>
      <c r="AO275" s="97" t="n"/>
      <c r="AP275" s="97" t="n"/>
      <c r="AQ275" s="97" t="n"/>
      <c r="AR275" s="97" t="n"/>
      <c r="AS275" s="97" t="n"/>
      <c r="AT275" s="97" t="n"/>
      <c r="AU275" s="97" t="n"/>
      <c r="AV275" s="97" t="n"/>
      <c r="AW275" s="97" t="n"/>
      <c r="AX275" s="97" t="n"/>
      <c r="AY275" s="97" t="n"/>
      <c r="AZ275" s="97" t="n"/>
      <c r="BA275" s="97" t="n"/>
      <c r="BB275" s="97" t="n"/>
    </row>
    <row r="276" ht="22" customHeight="1" s="110">
      <c r="A276" s="96" t="n"/>
      <c r="B276" s="96" t="n"/>
      <c r="C276" s="96" t="n"/>
      <c r="D276" s="96" t="n"/>
      <c r="E276" s="96" t="n"/>
      <c r="F276" s="96" t="n"/>
      <c r="G276" s="96" t="n"/>
      <c r="H276" s="96" t="n"/>
      <c r="I276" s="96" t="n"/>
      <c r="J276" s="96" t="n"/>
      <c r="L276" s="96" t="n"/>
      <c r="M276" s="96" t="n"/>
      <c r="N276" s="96" t="n"/>
      <c r="O276" s="96" t="n"/>
      <c r="Q276" s="96" t="n"/>
      <c r="R276" s="96" t="n"/>
      <c r="S276" s="96" t="n"/>
      <c r="T276" s="96" t="n"/>
      <c r="U276" s="96" t="n"/>
      <c r="V276" s="96" t="n"/>
      <c r="W276" s="96" t="n"/>
      <c r="X276" s="96" t="n"/>
      <c r="Y276" s="96" t="n"/>
      <c r="Z276" s="96" t="n"/>
      <c r="AA276" s="96" t="n"/>
      <c r="AB276" s="96" t="n"/>
      <c r="AC276" s="96" t="n"/>
      <c r="AD276" s="96" t="n"/>
      <c r="AE276" s="96" t="n"/>
      <c r="AF276" s="96" t="n"/>
      <c r="AG276" s="96" t="n"/>
      <c r="AH276" s="96" t="n"/>
      <c r="AI276" s="96" t="n"/>
      <c r="AJ276" s="96" t="n"/>
      <c r="AK276" s="96" t="n"/>
      <c r="AL276" s="96" t="n"/>
      <c r="AM276" s="96" t="n"/>
      <c r="AN276" s="96" t="n"/>
      <c r="AO276" s="96" t="n"/>
      <c r="AP276" s="96" t="n"/>
      <c r="AQ276" s="96" t="n"/>
      <c r="AR276" s="96" t="n"/>
      <c r="AS276" s="96" t="n"/>
      <c r="AT276" s="96" t="n"/>
      <c r="AU276" s="96" t="n"/>
      <c r="AV276" s="96" t="n"/>
      <c r="AW276" s="96" t="n"/>
      <c r="AX276" s="96" t="n"/>
      <c r="AY276" s="96" t="n"/>
      <c r="AZ276" s="96" t="n"/>
      <c r="BA276" s="96" t="n"/>
      <c r="BB276" s="96" t="n"/>
    </row>
    <row r="277" ht="22" customHeight="1" s="110">
      <c r="A277" s="97" t="n"/>
      <c r="B277" s="97" t="n"/>
      <c r="C277" s="97" t="n"/>
      <c r="D277" s="97" t="n"/>
      <c r="E277" s="97" t="n"/>
      <c r="F277" s="97" t="n"/>
      <c r="G277" s="97" t="n"/>
      <c r="H277" s="97" t="n"/>
      <c r="I277" s="97" t="n"/>
      <c r="J277" s="97" t="n"/>
      <c r="L277" s="97" t="n"/>
      <c r="M277" s="97" t="n"/>
      <c r="N277" s="97" t="n"/>
      <c r="O277" s="97" t="n"/>
      <c r="Q277" s="97" t="n"/>
      <c r="R277" s="97" t="n"/>
      <c r="S277" s="97" t="n"/>
      <c r="T277" s="97" t="n"/>
      <c r="U277" s="97" t="n"/>
      <c r="V277" s="97" t="n"/>
      <c r="W277" s="97" t="n"/>
      <c r="X277" s="97" t="n"/>
      <c r="Y277" s="97" t="n"/>
      <c r="Z277" s="97" t="n"/>
      <c r="AA277" s="97" t="n"/>
      <c r="AB277" s="97" t="n"/>
      <c r="AC277" s="97" t="n"/>
      <c r="AD277" s="97" t="n"/>
      <c r="AE277" s="97" t="n"/>
      <c r="AF277" s="97" t="n"/>
      <c r="AG277" s="97" t="n"/>
      <c r="AH277" s="97" t="n"/>
      <c r="AI277" s="97" t="n"/>
      <c r="AJ277" s="97" t="n"/>
      <c r="AK277" s="97" t="n"/>
      <c r="AL277" s="97" t="n"/>
      <c r="AM277" s="97" t="n"/>
      <c r="AN277" s="97" t="n"/>
      <c r="AO277" s="97" t="n"/>
      <c r="AP277" s="97" t="n"/>
      <c r="AQ277" s="97" t="n"/>
      <c r="AR277" s="97" t="n"/>
      <c r="AS277" s="97" t="n"/>
      <c r="AT277" s="97" t="n"/>
      <c r="AU277" s="97" t="n"/>
      <c r="AV277" s="97" t="n"/>
      <c r="AW277" s="97" t="n"/>
      <c r="AX277" s="97" t="n"/>
      <c r="AY277" s="97" t="n"/>
      <c r="AZ277" s="97" t="n"/>
      <c r="BA277" s="97" t="n"/>
      <c r="BB277" s="97" t="n"/>
    </row>
    <row r="278" ht="22" customHeight="1" s="110">
      <c r="A278" s="96" t="n"/>
      <c r="B278" s="96" t="n"/>
      <c r="C278" s="96" t="n"/>
      <c r="D278" s="96" t="n"/>
      <c r="E278" s="96" t="n"/>
      <c r="F278" s="96" t="n"/>
      <c r="G278" s="96" t="n"/>
      <c r="H278" s="96" t="n"/>
      <c r="I278" s="96" t="n"/>
      <c r="J278" s="96" t="n"/>
      <c r="L278" s="96" t="n"/>
      <c r="M278" s="96" t="n"/>
      <c r="N278" s="96" t="n"/>
      <c r="O278" s="96" t="n"/>
      <c r="Q278" s="96" t="n"/>
      <c r="R278" s="96" t="n"/>
      <c r="S278" s="96" t="n"/>
      <c r="T278" s="96" t="n"/>
      <c r="U278" s="96" t="n"/>
      <c r="V278" s="96" t="n"/>
      <c r="W278" s="96" t="n"/>
      <c r="X278" s="96" t="n"/>
      <c r="Y278" s="96" t="n"/>
      <c r="Z278" s="96" t="n"/>
      <c r="AA278" s="96" t="n"/>
      <c r="AB278" s="96" t="n"/>
      <c r="AC278" s="96" t="n"/>
      <c r="AD278" s="96" t="n"/>
      <c r="AE278" s="96" t="n"/>
      <c r="AF278" s="96" t="n"/>
      <c r="AG278" s="96" t="n"/>
      <c r="AH278" s="96" t="n"/>
      <c r="AI278" s="96" t="n"/>
      <c r="AJ278" s="96" t="n"/>
      <c r="AK278" s="96" t="n"/>
      <c r="AL278" s="96" t="n"/>
      <c r="AM278" s="96" t="n"/>
      <c r="AN278" s="96" t="n"/>
      <c r="AO278" s="96" t="n"/>
      <c r="AP278" s="96" t="n"/>
      <c r="AQ278" s="96" t="n"/>
      <c r="AR278" s="96" t="n"/>
      <c r="AS278" s="96" t="n"/>
      <c r="AT278" s="96" t="n"/>
      <c r="AU278" s="96" t="n"/>
      <c r="AV278" s="96" t="n"/>
      <c r="AW278" s="96" t="n"/>
      <c r="AX278" s="96" t="n"/>
      <c r="AY278" s="96" t="n"/>
      <c r="AZ278" s="96" t="n"/>
      <c r="BA278" s="96" t="n"/>
      <c r="BB278" s="96" t="n"/>
    </row>
    <row r="279" ht="22" customHeight="1" s="110">
      <c r="A279" s="97" t="n"/>
      <c r="B279" s="97" t="n"/>
      <c r="C279" s="97" t="n"/>
      <c r="D279" s="97" t="n"/>
      <c r="E279" s="97" t="n"/>
      <c r="F279" s="97" t="n"/>
      <c r="G279" s="97" t="n"/>
      <c r="H279" s="97" t="n"/>
      <c r="I279" s="97" t="n"/>
      <c r="J279" s="97" t="n"/>
      <c r="L279" s="97" t="n"/>
      <c r="M279" s="97" t="n"/>
      <c r="N279" s="97" t="n"/>
      <c r="O279" s="97" t="n"/>
      <c r="Q279" s="97" t="n"/>
      <c r="R279" s="97" t="n"/>
      <c r="S279" s="97" t="n"/>
      <c r="T279" s="97" t="n"/>
      <c r="U279" s="97" t="n"/>
      <c r="V279" s="97" t="n"/>
      <c r="W279" s="97" t="n"/>
      <c r="X279" s="97" t="n"/>
      <c r="Y279" s="97" t="n"/>
      <c r="Z279" s="97" t="n"/>
      <c r="AA279" s="97" t="n"/>
      <c r="AB279" s="97" t="n"/>
      <c r="AC279" s="97" t="n"/>
      <c r="AD279" s="97" t="n"/>
      <c r="AE279" s="97" t="n"/>
      <c r="AF279" s="97" t="n"/>
      <c r="AG279" s="97" t="n"/>
      <c r="AH279" s="97" t="n"/>
      <c r="AI279" s="97" t="n"/>
      <c r="AJ279" s="97" t="n"/>
      <c r="AK279" s="97" t="n"/>
      <c r="AL279" s="97" t="n"/>
      <c r="AM279" s="97" t="n"/>
      <c r="AN279" s="97" t="n"/>
      <c r="AO279" s="97" t="n"/>
      <c r="AP279" s="97" t="n"/>
      <c r="AQ279" s="97" t="n"/>
      <c r="AR279" s="97" t="n"/>
      <c r="AS279" s="97" t="n"/>
      <c r="AT279" s="97" t="n"/>
      <c r="AU279" s="97" t="n"/>
      <c r="AV279" s="97" t="n"/>
      <c r="AW279" s="97" t="n"/>
      <c r="AX279" s="97" t="n"/>
      <c r="AY279" s="97" t="n"/>
      <c r="AZ279" s="97" t="n"/>
      <c r="BA279" s="97" t="n"/>
      <c r="BB279" s="97" t="n"/>
    </row>
    <row r="280" ht="22" customHeight="1" s="110">
      <c r="A280" s="96" t="n"/>
      <c r="B280" s="96" t="n"/>
      <c r="C280" s="96" t="n"/>
      <c r="D280" s="96" t="n"/>
      <c r="E280" s="96" t="n"/>
      <c r="F280" s="96" t="n"/>
      <c r="G280" s="96" t="n"/>
      <c r="H280" s="96" t="n"/>
      <c r="I280" s="96" t="n"/>
      <c r="J280" s="96" t="n"/>
      <c r="L280" s="96" t="n"/>
      <c r="M280" s="96" t="n"/>
      <c r="N280" s="96" t="n"/>
      <c r="O280" s="96" t="n"/>
      <c r="Q280" s="96" t="n"/>
      <c r="R280" s="96" t="n"/>
      <c r="S280" s="96" t="n"/>
      <c r="T280" s="96" t="n"/>
      <c r="U280" s="96" t="n"/>
      <c r="V280" s="96" t="n"/>
      <c r="W280" s="96" t="n"/>
      <c r="X280" s="96" t="n"/>
      <c r="Y280" s="96" t="n"/>
      <c r="Z280" s="96" t="n"/>
      <c r="AA280" s="96" t="n"/>
      <c r="AB280" s="96" t="n"/>
      <c r="AC280" s="96" t="n"/>
      <c r="AD280" s="96" t="n"/>
      <c r="AE280" s="96" t="n"/>
      <c r="AF280" s="96" t="n"/>
      <c r="AG280" s="96" t="n"/>
      <c r="AH280" s="96" t="n"/>
      <c r="AI280" s="96" t="n"/>
      <c r="AJ280" s="96" t="n"/>
      <c r="AK280" s="96" t="n"/>
      <c r="AL280" s="96" t="n"/>
      <c r="AM280" s="96" t="n"/>
      <c r="AN280" s="96" t="n"/>
      <c r="AO280" s="96" t="n"/>
      <c r="AP280" s="96" t="n"/>
      <c r="AQ280" s="96" t="n"/>
      <c r="AR280" s="96" t="n"/>
      <c r="AS280" s="96" t="n"/>
      <c r="AT280" s="96" t="n"/>
      <c r="AU280" s="96" t="n"/>
      <c r="AV280" s="96" t="n"/>
      <c r="AW280" s="96" t="n"/>
      <c r="AX280" s="96" t="n"/>
      <c r="AY280" s="96" t="n"/>
      <c r="AZ280" s="96" t="n"/>
      <c r="BA280" s="96" t="n"/>
      <c r="BB280" s="96" t="n"/>
    </row>
    <row r="281" ht="22" customHeight="1" s="110">
      <c r="A281" s="97" t="n"/>
      <c r="B281" s="97" t="n"/>
      <c r="C281" s="97" t="n"/>
      <c r="D281" s="97" t="n"/>
      <c r="E281" s="97" t="n"/>
      <c r="F281" s="97" t="n"/>
      <c r="G281" s="97" t="n"/>
      <c r="H281" s="97" t="n"/>
      <c r="I281" s="97" t="n"/>
      <c r="J281" s="97" t="n"/>
      <c r="L281" s="97" t="n"/>
      <c r="M281" s="97" t="n"/>
      <c r="N281" s="97" t="n"/>
      <c r="O281" s="97" t="n"/>
      <c r="Q281" s="97" t="n"/>
      <c r="R281" s="97" t="n"/>
      <c r="S281" s="97" t="n"/>
      <c r="T281" s="97" t="n"/>
      <c r="U281" s="97" t="n"/>
      <c r="V281" s="97" t="n"/>
      <c r="W281" s="97" t="n"/>
      <c r="X281" s="97" t="n"/>
      <c r="Y281" s="97" t="n"/>
      <c r="Z281" s="97" t="n"/>
      <c r="AA281" s="97" t="n"/>
      <c r="AB281" s="97" t="n"/>
      <c r="AC281" s="97" t="n"/>
      <c r="AD281" s="97" t="n"/>
      <c r="AE281" s="97" t="n"/>
      <c r="AF281" s="97" t="n"/>
      <c r="AG281" s="97" t="n"/>
      <c r="AH281" s="97" t="n"/>
      <c r="AI281" s="97" t="n"/>
      <c r="AJ281" s="97" t="n"/>
      <c r="AK281" s="97" t="n"/>
      <c r="AL281" s="97" t="n"/>
      <c r="AM281" s="97" t="n"/>
      <c r="AN281" s="97" t="n"/>
      <c r="AO281" s="97" t="n"/>
      <c r="AP281" s="97" t="n"/>
      <c r="AQ281" s="97" t="n"/>
      <c r="AR281" s="97" t="n"/>
      <c r="AS281" s="97" t="n"/>
      <c r="AT281" s="97" t="n"/>
      <c r="AU281" s="97" t="n"/>
      <c r="AV281" s="97" t="n"/>
      <c r="AW281" s="97" t="n"/>
      <c r="AX281" s="97" t="n"/>
      <c r="AY281" s="97" t="n"/>
      <c r="AZ281" s="97" t="n"/>
      <c r="BA281" s="97" t="n"/>
      <c r="BB281" s="97" t="n"/>
    </row>
    <row r="282" ht="22" customHeight="1" s="110">
      <c r="A282" s="96" t="n"/>
      <c r="B282" s="96" t="n"/>
      <c r="C282" s="96" t="n"/>
      <c r="D282" s="96" t="n"/>
      <c r="E282" s="96" t="n"/>
      <c r="F282" s="96" t="n"/>
      <c r="G282" s="96" t="n"/>
      <c r="H282" s="96" t="n"/>
      <c r="I282" s="96" t="n"/>
      <c r="J282" s="96" t="n"/>
      <c r="L282" s="96" t="n"/>
      <c r="M282" s="96" t="n"/>
      <c r="N282" s="96" t="n"/>
      <c r="O282" s="96" t="n"/>
      <c r="Q282" s="96" t="n"/>
      <c r="R282" s="96" t="n"/>
      <c r="S282" s="96" t="n"/>
      <c r="T282" s="96" t="n"/>
      <c r="U282" s="96" t="n"/>
      <c r="V282" s="96" t="n"/>
      <c r="W282" s="96" t="n"/>
      <c r="X282" s="96" t="n"/>
      <c r="Y282" s="96" t="n"/>
      <c r="Z282" s="96" t="n"/>
      <c r="AA282" s="96" t="n"/>
      <c r="AB282" s="96" t="n"/>
      <c r="AC282" s="96" t="n"/>
      <c r="AD282" s="96" t="n"/>
      <c r="AE282" s="96" t="n"/>
      <c r="AF282" s="96" t="n"/>
      <c r="AG282" s="96" t="n"/>
      <c r="AH282" s="96" t="n"/>
      <c r="AI282" s="96" t="n"/>
      <c r="AJ282" s="96" t="n"/>
      <c r="AK282" s="96" t="n"/>
      <c r="AL282" s="96" t="n"/>
      <c r="AM282" s="96" t="n"/>
      <c r="AN282" s="96" t="n"/>
      <c r="AO282" s="96" t="n"/>
      <c r="AP282" s="96" t="n"/>
      <c r="AQ282" s="96" t="n"/>
      <c r="AR282" s="96" t="n"/>
      <c r="AS282" s="96" t="n"/>
      <c r="AT282" s="96" t="n"/>
      <c r="AU282" s="96" t="n"/>
      <c r="AV282" s="96" t="n"/>
      <c r="AW282" s="96" t="n"/>
      <c r="AX282" s="96" t="n"/>
      <c r="AY282" s="96" t="n"/>
      <c r="AZ282" s="96" t="n"/>
      <c r="BA282" s="96" t="n"/>
      <c r="BB282" s="96" t="n"/>
    </row>
    <row r="283" ht="22" customHeight="1" s="110">
      <c r="A283" s="97" t="n"/>
      <c r="B283" s="97" t="n"/>
      <c r="C283" s="97" t="n"/>
      <c r="D283" s="97" t="n"/>
      <c r="E283" s="97" t="n"/>
      <c r="F283" s="97" t="n"/>
      <c r="G283" s="97" t="n"/>
      <c r="H283" s="97" t="n"/>
      <c r="I283" s="97" t="n"/>
      <c r="J283" s="97" t="n"/>
      <c r="L283" s="97" t="n"/>
      <c r="M283" s="97" t="n"/>
      <c r="N283" s="97" t="n"/>
      <c r="O283" s="97" t="n"/>
      <c r="Q283" s="97" t="n"/>
      <c r="R283" s="97" t="n"/>
      <c r="S283" s="97" t="n"/>
      <c r="T283" s="97" t="n"/>
      <c r="U283" s="97" t="n"/>
      <c r="V283" s="97" t="n"/>
      <c r="W283" s="97" t="n"/>
      <c r="X283" s="97" t="n"/>
      <c r="Y283" s="97" t="n"/>
      <c r="Z283" s="97" t="n"/>
      <c r="AA283" s="97" t="n"/>
      <c r="AB283" s="97" t="n"/>
      <c r="AC283" s="97" t="n"/>
      <c r="AD283" s="97" t="n"/>
      <c r="AE283" s="97" t="n"/>
      <c r="AF283" s="97" t="n"/>
      <c r="AG283" s="97" t="n"/>
      <c r="AH283" s="97" t="n"/>
      <c r="AI283" s="97" t="n"/>
      <c r="AJ283" s="97" t="n"/>
      <c r="AK283" s="97" t="n"/>
      <c r="AL283" s="97" t="n"/>
      <c r="AM283" s="97" t="n"/>
      <c r="AN283" s="97" t="n"/>
      <c r="AO283" s="97" t="n"/>
      <c r="AP283" s="97" t="n"/>
      <c r="AQ283" s="97" t="n"/>
      <c r="AR283" s="97" t="n"/>
      <c r="AS283" s="97" t="n"/>
      <c r="AT283" s="97" t="n"/>
      <c r="AU283" s="97" t="n"/>
      <c r="AV283" s="97" t="n"/>
      <c r="AW283" s="97" t="n"/>
      <c r="AX283" s="97" t="n"/>
      <c r="AY283" s="97" t="n"/>
      <c r="AZ283" s="97" t="n"/>
      <c r="BA283" s="97" t="n"/>
      <c r="BB283" s="97" t="n"/>
    </row>
    <row r="284" ht="22" customHeight="1" s="110">
      <c r="A284" s="96" t="n"/>
      <c r="B284" s="96" t="n"/>
      <c r="C284" s="96" t="n"/>
      <c r="D284" s="96" t="n"/>
      <c r="E284" s="96" t="n"/>
      <c r="F284" s="96" t="n"/>
      <c r="G284" s="96" t="n"/>
      <c r="H284" s="96" t="n"/>
      <c r="I284" s="96" t="n"/>
      <c r="J284" s="96" t="n"/>
      <c r="L284" s="96" t="n"/>
      <c r="M284" s="96" t="n"/>
      <c r="N284" s="96" t="n"/>
      <c r="O284" s="96" t="n"/>
      <c r="Q284" s="96" t="n"/>
      <c r="R284" s="96" t="n"/>
      <c r="S284" s="96" t="n"/>
      <c r="T284" s="96" t="n"/>
      <c r="U284" s="96" t="n"/>
      <c r="V284" s="96" t="n"/>
      <c r="W284" s="96" t="n"/>
      <c r="X284" s="96" t="n"/>
      <c r="Y284" s="96" t="n"/>
      <c r="Z284" s="96" t="n"/>
      <c r="AA284" s="96" t="n"/>
      <c r="AB284" s="96" t="n"/>
      <c r="AC284" s="96" t="n"/>
      <c r="AD284" s="96" t="n"/>
      <c r="AE284" s="96" t="n"/>
      <c r="AF284" s="96" t="n"/>
      <c r="AG284" s="96" t="n"/>
      <c r="AH284" s="96" t="n"/>
      <c r="AI284" s="96" t="n"/>
      <c r="AJ284" s="96" t="n"/>
      <c r="AK284" s="96" t="n"/>
      <c r="AL284" s="96" t="n"/>
      <c r="AM284" s="96" t="n"/>
      <c r="AN284" s="96" t="n"/>
      <c r="AO284" s="96" t="n"/>
      <c r="AP284" s="96" t="n"/>
      <c r="AQ284" s="96" t="n"/>
      <c r="AR284" s="96" t="n"/>
      <c r="AS284" s="96" t="n"/>
      <c r="AT284" s="96" t="n"/>
      <c r="AU284" s="96" t="n"/>
      <c r="AV284" s="96" t="n"/>
      <c r="AW284" s="96" t="n"/>
      <c r="AX284" s="96" t="n"/>
      <c r="AY284" s="96" t="n"/>
      <c r="AZ284" s="96" t="n"/>
      <c r="BA284" s="96" t="n"/>
      <c r="BB284" s="96" t="n"/>
    </row>
    <row r="285" ht="22" customHeight="1" s="110">
      <c r="A285" s="97" t="n"/>
      <c r="B285" s="97" t="n"/>
      <c r="C285" s="97" t="n"/>
      <c r="D285" s="97" t="n"/>
      <c r="E285" s="97" t="n"/>
      <c r="F285" s="97" t="n"/>
      <c r="G285" s="97" t="n"/>
      <c r="H285" s="97" t="n"/>
      <c r="I285" s="97" t="n"/>
      <c r="J285" s="97" t="n"/>
      <c r="L285" s="97" t="n"/>
      <c r="M285" s="97" t="n"/>
      <c r="N285" s="97" t="n"/>
      <c r="O285" s="97" t="n"/>
      <c r="Q285" s="97" t="n"/>
      <c r="R285" s="97" t="n"/>
      <c r="S285" s="97" t="n"/>
      <c r="T285" s="97" t="n"/>
      <c r="U285" s="97" t="n"/>
      <c r="V285" s="97" t="n"/>
      <c r="W285" s="97" t="n"/>
      <c r="X285" s="97" t="n"/>
      <c r="Y285" s="97" t="n"/>
      <c r="Z285" s="97" t="n"/>
      <c r="AA285" s="97" t="n"/>
      <c r="AB285" s="97" t="n"/>
      <c r="AC285" s="97" t="n"/>
      <c r="AD285" s="97" t="n"/>
      <c r="AE285" s="97" t="n"/>
      <c r="AF285" s="97" t="n"/>
      <c r="AG285" s="97" t="n"/>
      <c r="AH285" s="97" t="n"/>
      <c r="AI285" s="97" t="n"/>
      <c r="AJ285" s="97" t="n"/>
      <c r="AK285" s="97" t="n"/>
      <c r="AL285" s="97" t="n"/>
      <c r="AM285" s="97" t="n"/>
      <c r="AN285" s="97" t="n"/>
      <c r="AO285" s="97" t="n"/>
      <c r="AP285" s="97" t="n"/>
      <c r="AQ285" s="97" t="n"/>
      <c r="AR285" s="97" t="n"/>
      <c r="AS285" s="97" t="n"/>
      <c r="AT285" s="97" t="n"/>
      <c r="AU285" s="97" t="n"/>
      <c r="AV285" s="97" t="n"/>
      <c r="AW285" s="97" t="n"/>
      <c r="AX285" s="97" t="n"/>
      <c r="AY285" s="97" t="n"/>
      <c r="AZ285" s="97" t="n"/>
      <c r="BA285" s="97" t="n"/>
      <c r="BB285" s="97" t="n"/>
    </row>
    <row r="286" ht="22" customHeight="1" s="110">
      <c r="A286" s="96" t="n"/>
      <c r="B286" s="96" t="n"/>
      <c r="C286" s="96" t="n"/>
      <c r="D286" s="96" t="n"/>
      <c r="E286" s="96" t="n"/>
      <c r="F286" s="96" t="n"/>
      <c r="G286" s="96" t="n"/>
      <c r="H286" s="96" t="n"/>
      <c r="I286" s="96" t="n"/>
      <c r="J286" s="96" t="n"/>
      <c r="L286" s="96" t="n"/>
      <c r="M286" s="96" t="n"/>
      <c r="N286" s="96" t="n"/>
      <c r="O286" s="96" t="n"/>
      <c r="Q286" s="96" t="n"/>
      <c r="R286" s="96" t="n"/>
      <c r="S286" s="96" t="n"/>
      <c r="T286" s="96" t="n"/>
      <c r="U286" s="96" t="n"/>
      <c r="V286" s="96" t="n"/>
      <c r="W286" s="96" t="n"/>
      <c r="X286" s="96" t="n"/>
      <c r="Y286" s="96" t="n"/>
      <c r="Z286" s="96" t="n"/>
      <c r="AA286" s="96" t="n"/>
      <c r="AB286" s="96" t="n"/>
      <c r="AC286" s="96" t="n"/>
      <c r="AD286" s="96" t="n"/>
      <c r="AE286" s="96" t="n"/>
      <c r="AF286" s="96" t="n"/>
      <c r="AG286" s="96" t="n"/>
      <c r="AH286" s="96" t="n"/>
      <c r="AI286" s="96" t="n"/>
      <c r="AJ286" s="96" t="n"/>
      <c r="AK286" s="96" t="n"/>
      <c r="AL286" s="96" t="n"/>
      <c r="AM286" s="96" t="n"/>
      <c r="AN286" s="96" t="n"/>
      <c r="AO286" s="96" t="n"/>
      <c r="AP286" s="96" t="n"/>
      <c r="AQ286" s="96" t="n"/>
      <c r="AR286" s="96" t="n"/>
      <c r="AS286" s="96" t="n"/>
      <c r="AT286" s="96" t="n"/>
      <c r="AU286" s="96" t="n"/>
      <c r="AV286" s="96" t="n"/>
      <c r="AW286" s="96" t="n"/>
      <c r="AX286" s="96" t="n"/>
      <c r="AY286" s="96" t="n"/>
      <c r="AZ286" s="96" t="n"/>
      <c r="BA286" s="96" t="n"/>
      <c r="BB286" s="96" t="n"/>
    </row>
    <row r="287" ht="22" customHeight="1" s="110">
      <c r="A287" s="97" t="n"/>
      <c r="B287" s="97" t="n"/>
      <c r="C287" s="97" t="n"/>
      <c r="D287" s="97" t="n"/>
      <c r="E287" s="97" t="n"/>
      <c r="F287" s="97" t="n"/>
      <c r="G287" s="97" t="n"/>
      <c r="H287" s="97" t="n"/>
      <c r="I287" s="97" t="n"/>
      <c r="J287" s="97" t="n"/>
      <c r="L287" s="97" t="n"/>
      <c r="M287" s="97" t="n"/>
      <c r="N287" s="97" t="n"/>
      <c r="O287" s="97" t="n"/>
      <c r="Q287" s="97" t="n"/>
      <c r="R287" s="97" t="n"/>
      <c r="S287" s="97" t="n"/>
      <c r="T287" s="97" t="n"/>
      <c r="U287" s="97" t="n"/>
      <c r="V287" s="97" t="n"/>
      <c r="W287" s="97" t="n"/>
      <c r="X287" s="97" t="n"/>
      <c r="Y287" s="97" t="n"/>
      <c r="Z287" s="97" t="n"/>
      <c r="AA287" s="97" t="n"/>
      <c r="AB287" s="97" t="n"/>
      <c r="AC287" s="97" t="n"/>
      <c r="AD287" s="97" t="n"/>
      <c r="AE287" s="97" t="n"/>
      <c r="AF287" s="97" t="n"/>
      <c r="AG287" s="97" t="n"/>
      <c r="AH287" s="97" t="n"/>
      <c r="AI287" s="97" t="n"/>
      <c r="AJ287" s="97" t="n"/>
      <c r="AK287" s="97" t="n"/>
      <c r="AL287" s="97" t="n"/>
      <c r="AM287" s="97" t="n"/>
      <c r="AN287" s="97" t="n"/>
      <c r="AO287" s="97" t="n"/>
      <c r="AP287" s="97" t="n"/>
      <c r="AQ287" s="97" t="n"/>
      <c r="AR287" s="97" t="n"/>
      <c r="AS287" s="97" t="n"/>
      <c r="AT287" s="97" t="n"/>
      <c r="AU287" s="97" t="n"/>
      <c r="AV287" s="97" t="n"/>
      <c r="AW287" s="97" t="n"/>
      <c r="AX287" s="97" t="n"/>
      <c r="AY287" s="97" t="n"/>
      <c r="AZ287" s="97" t="n"/>
      <c r="BA287" s="97" t="n"/>
      <c r="BB287" s="97" t="n"/>
    </row>
    <row r="288" ht="22" customHeight="1" s="110">
      <c r="A288" s="96" t="n"/>
      <c r="B288" s="96" t="n"/>
      <c r="C288" s="96" t="n"/>
      <c r="D288" s="96" t="n"/>
      <c r="E288" s="96" t="n"/>
      <c r="F288" s="96" t="n"/>
      <c r="G288" s="96" t="n"/>
      <c r="H288" s="96" t="n"/>
      <c r="I288" s="96" t="n"/>
      <c r="J288" s="96" t="n"/>
      <c r="L288" s="96" t="n"/>
      <c r="M288" s="96" t="n"/>
      <c r="N288" s="96" t="n"/>
      <c r="O288" s="96" t="n"/>
      <c r="Q288" s="96" t="n"/>
      <c r="R288" s="96" t="n"/>
      <c r="S288" s="96" t="n"/>
      <c r="T288" s="96" t="n"/>
      <c r="U288" s="96" t="n"/>
      <c r="V288" s="96" t="n"/>
      <c r="W288" s="96" t="n"/>
      <c r="X288" s="96" t="n"/>
      <c r="Y288" s="96" t="n"/>
      <c r="Z288" s="96" t="n"/>
      <c r="AA288" s="96" t="n"/>
      <c r="AB288" s="96" t="n"/>
      <c r="AC288" s="96" t="n"/>
      <c r="AD288" s="96" t="n"/>
      <c r="AE288" s="96" t="n"/>
      <c r="AF288" s="96" t="n"/>
      <c r="AG288" s="96" t="n"/>
      <c r="AH288" s="96" t="n"/>
      <c r="AI288" s="96" t="n"/>
      <c r="AJ288" s="96" t="n"/>
      <c r="AK288" s="96" t="n"/>
      <c r="AL288" s="96" t="n"/>
      <c r="AM288" s="96" t="n"/>
      <c r="AN288" s="96" t="n"/>
      <c r="AO288" s="96" t="n"/>
      <c r="AP288" s="96" t="n"/>
      <c r="AQ288" s="96" t="n"/>
      <c r="AR288" s="96" t="n"/>
      <c r="AS288" s="96" t="n"/>
      <c r="AT288" s="96" t="n"/>
      <c r="AU288" s="96" t="n"/>
      <c r="AV288" s="96" t="n"/>
      <c r="AW288" s="96" t="n"/>
      <c r="AX288" s="96" t="n"/>
      <c r="AY288" s="96" t="n"/>
      <c r="AZ288" s="96" t="n"/>
      <c r="BA288" s="96" t="n"/>
      <c r="BB288" s="96" t="n"/>
    </row>
    <row r="289" ht="22" customHeight="1" s="110">
      <c r="A289" s="97" t="n"/>
      <c r="B289" s="97" t="n"/>
      <c r="C289" s="97" t="n"/>
      <c r="D289" s="97" t="n"/>
      <c r="E289" s="97" t="n"/>
      <c r="F289" s="97" t="n"/>
      <c r="G289" s="97" t="n"/>
      <c r="H289" s="97" t="n"/>
      <c r="I289" s="97" t="n"/>
      <c r="J289" s="97" t="n"/>
      <c r="L289" s="97" t="n"/>
      <c r="M289" s="97" t="n"/>
      <c r="N289" s="97" t="n"/>
      <c r="O289" s="97" t="n"/>
      <c r="Q289" s="97" t="n"/>
      <c r="R289" s="97" t="n"/>
      <c r="S289" s="97" t="n"/>
      <c r="T289" s="97" t="n"/>
      <c r="U289" s="97" t="n"/>
      <c r="V289" s="97" t="n"/>
      <c r="W289" s="97" t="n"/>
      <c r="X289" s="97" t="n"/>
      <c r="Y289" s="97" t="n"/>
      <c r="Z289" s="97" t="n"/>
      <c r="AA289" s="97" t="n"/>
      <c r="AB289" s="97" t="n"/>
      <c r="AC289" s="97" t="n"/>
      <c r="AD289" s="97" t="n"/>
      <c r="AE289" s="97" t="n"/>
      <c r="AF289" s="97" t="n"/>
      <c r="AG289" s="97" t="n"/>
      <c r="AH289" s="97" t="n"/>
      <c r="AI289" s="97" t="n"/>
      <c r="AJ289" s="97" t="n"/>
      <c r="AK289" s="97" t="n"/>
      <c r="AL289" s="97" t="n"/>
      <c r="AM289" s="97" t="n"/>
      <c r="AN289" s="97" t="n"/>
      <c r="AO289" s="97" t="n"/>
      <c r="AP289" s="97" t="n"/>
      <c r="AQ289" s="97" t="n"/>
      <c r="AR289" s="97" t="n"/>
      <c r="AS289" s="97" t="n"/>
      <c r="AT289" s="97" t="n"/>
      <c r="AU289" s="97" t="n"/>
      <c r="AV289" s="97" t="n"/>
      <c r="AW289" s="97" t="n"/>
      <c r="AX289" s="97" t="n"/>
      <c r="AY289" s="97" t="n"/>
      <c r="AZ289" s="97" t="n"/>
      <c r="BA289" s="97" t="n"/>
      <c r="BB289" s="97" t="n"/>
    </row>
    <row r="290" ht="22" customHeight="1" s="110">
      <c r="A290" s="96" t="n"/>
      <c r="B290" s="96" t="n"/>
      <c r="C290" s="96" t="n"/>
      <c r="D290" s="96" t="n"/>
      <c r="E290" s="96" t="n"/>
      <c r="F290" s="96" t="n"/>
      <c r="G290" s="96" t="n"/>
      <c r="H290" s="96" t="n"/>
      <c r="I290" s="96" t="n"/>
      <c r="J290" s="96" t="n"/>
      <c r="L290" s="96" t="n"/>
      <c r="M290" s="96" t="n"/>
      <c r="N290" s="96" t="n"/>
      <c r="O290" s="96" t="n"/>
      <c r="Q290" s="96" t="n"/>
      <c r="R290" s="96" t="n"/>
      <c r="S290" s="96" t="n"/>
      <c r="T290" s="96" t="n"/>
      <c r="U290" s="96" t="n"/>
      <c r="V290" s="96" t="n"/>
      <c r="W290" s="96" t="n"/>
      <c r="X290" s="96" t="n"/>
      <c r="Y290" s="96" t="n"/>
      <c r="Z290" s="96" t="n"/>
      <c r="AA290" s="96" t="n"/>
      <c r="AB290" s="96" t="n"/>
      <c r="AC290" s="96" t="n"/>
      <c r="AD290" s="96" t="n"/>
      <c r="AE290" s="96" t="n"/>
      <c r="AF290" s="96" t="n"/>
      <c r="AG290" s="96" t="n"/>
      <c r="AH290" s="96" t="n"/>
      <c r="AI290" s="96" t="n"/>
      <c r="AJ290" s="96" t="n"/>
      <c r="AK290" s="96" t="n"/>
      <c r="AL290" s="96" t="n"/>
      <c r="AM290" s="96" t="n"/>
      <c r="AN290" s="96" t="n"/>
      <c r="AO290" s="96" t="n"/>
      <c r="AP290" s="96" t="n"/>
      <c r="AQ290" s="96" t="n"/>
      <c r="AR290" s="96" t="n"/>
      <c r="AS290" s="96" t="n"/>
      <c r="AT290" s="96" t="n"/>
      <c r="AU290" s="96" t="n"/>
      <c r="AV290" s="96" t="n"/>
      <c r="AW290" s="96" t="n"/>
      <c r="AX290" s="96" t="n"/>
      <c r="AY290" s="96" t="n"/>
      <c r="AZ290" s="96" t="n"/>
      <c r="BA290" s="96" t="n"/>
      <c r="BB290" s="96" t="n"/>
    </row>
    <row r="291" ht="22" customHeight="1" s="110">
      <c r="A291" s="97" t="n"/>
      <c r="B291" s="97" t="n"/>
      <c r="C291" s="97" t="n"/>
      <c r="D291" s="97" t="n"/>
      <c r="E291" s="97" t="n"/>
      <c r="F291" s="97" t="n"/>
      <c r="G291" s="97" t="n"/>
      <c r="H291" s="97" t="n"/>
      <c r="I291" s="97" t="n"/>
      <c r="J291" s="97" t="n"/>
      <c r="L291" s="97" t="n"/>
      <c r="M291" s="97" t="n"/>
      <c r="N291" s="97" t="n"/>
      <c r="O291" s="97" t="n"/>
      <c r="Q291" s="97" t="n"/>
      <c r="R291" s="97" t="n"/>
      <c r="S291" s="97" t="n"/>
      <c r="T291" s="97" t="n"/>
      <c r="U291" s="97" t="n"/>
      <c r="V291" s="97" t="n"/>
      <c r="W291" s="97" t="n"/>
      <c r="X291" s="97" t="n"/>
      <c r="Y291" s="97" t="n"/>
      <c r="Z291" s="97" t="n"/>
      <c r="AA291" s="97" t="n"/>
      <c r="AB291" s="97" t="n"/>
      <c r="AC291" s="97" t="n"/>
      <c r="AD291" s="97" t="n"/>
      <c r="AE291" s="97" t="n"/>
      <c r="AF291" s="97" t="n"/>
      <c r="AG291" s="97" t="n"/>
      <c r="AH291" s="97" t="n"/>
      <c r="AI291" s="97" t="n"/>
      <c r="AJ291" s="97" t="n"/>
      <c r="AK291" s="97" t="n"/>
      <c r="AL291" s="97" t="n"/>
      <c r="AM291" s="97" t="n"/>
      <c r="AN291" s="97" t="n"/>
      <c r="AO291" s="97" t="n"/>
      <c r="AP291" s="97" t="n"/>
      <c r="AQ291" s="97" t="n"/>
      <c r="AR291" s="97" t="n"/>
      <c r="AS291" s="97" t="n"/>
      <c r="AT291" s="97" t="n"/>
      <c r="AU291" s="97" t="n"/>
      <c r="AV291" s="97" t="n"/>
      <c r="AW291" s="97" t="n"/>
      <c r="AX291" s="97" t="n"/>
      <c r="AY291" s="97" t="n"/>
      <c r="AZ291" s="97" t="n"/>
      <c r="BA291" s="97" t="n"/>
      <c r="BB291" s="97" t="n"/>
    </row>
    <row r="292" ht="22" customHeight="1" s="110">
      <c r="A292" s="96" t="n"/>
      <c r="B292" s="96" t="n"/>
      <c r="C292" s="96" t="n"/>
      <c r="D292" s="96" t="n"/>
      <c r="E292" s="96" t="n"/>
      <c r="F292" s="96" t="n"/>
      <c r="G292" s="96" t="n"/>
      <c r="H292" s="96" t="n"/>
      <c r="I292" s="96" t="n"/>
      <c r="J292" s="96" t="n"/>
      <c r="L292" s="96" t="n"/>
      <c r="M292" s="96" t="n"/>
      <c r="N292" s="96" t="n"/>
      <c r="O292" s="96" t="n"/>
      <c r="Q292" s="96" t="n"/>
      <c r="R292" s="96" t="n"/>
      <c r="S292" s="96" t="n"/>
      <c r="T292" s="96" t="n"/>
      <c r="U292" s="96" t="n"/>
      <c r="V292" s="96" t="n"/>
      <c r="W292" s="96" t="n"/>
      <c r="X292" s="96" t="n"/>
      <c r="Y292" s="96" t="n"/>
      <c r="Z292" s="96" t="n"/>
      <c r="AA292" s="96" t="n"/>
      <c r="AB292" s="96" t="n"/>
      <c r="AC292" s="96" t="n"/>
      <c r="AD292" s="96" t="n"/>
      <c r="AE292" s="96" t="n"/>
      <c r="AF292" s="96" t="n"/>
      <c r="AG292" s="96" t="n"/>
      <c r="AH292" s="96" t="n"/>
      <c r="AI292" s="96" t="n"/>
      <c r="AJ292" s="96" t="n"/>
      <c r="AK292" s="96" t="n"/>
      <c r="AL292" s="96" t="n"/>
      <c r="AM292" s="96" t="n"/>
      <c r="AN292" s="96" t="n"/>
      <c r="AO292" s="96" t="n"/>
      <c r="AP292" s="96" t="n"/>
      <c r="AQ292" s="96" t="n"/>
      <c r="AR292" s="96" t="n"/>
      <c r="AS292" s="96" t="n"/>
      <c r="AT292" s="96" t="n"/>
      <c r="AU292" s="96" t="n"/>
      <c r="AV292" s="96" t="n"/>
      <c r="AW292" s="96" t="n"/>
      <c r="AX292" s="96" t="n"/>
      <c r="AY292" s="96" t="n"/>
      <c r="AZ292" s="96" t="n"/>
      <c r="BA292" s="96" t="n"/>
      <c r="BB292" s="96" t="n"/>
    </row>
    <row r="293" ht="22" customHeight="1" s="110">
      <c r="A293" s="97" t="n"/>
      <c r="B293" s="97" t="n"/>
      <c r="C293" s="97" t="n"/>
      <c r="D293" s="97" t="n"/>
      <c r="E293" s="97" t="n"/>
      <c r="F293" s="97" t="n"/>
      <c r="G293" s="97" t="n"/>
      <c r="H293" s="97" t="n"/>
      <c r="I293" s="97" t="n"/>
      <c r="J293" s="97" t="n"/>
      <c r="L293" s="97" t="n"/>
      <c r="M293" s="97" t="n"/>
      <c r="N293" s="97" t="n"/>
      <c r="O293" s="97" t="n"/>
      <c r="Q293" s="97" t="n"/>
      <c r="R293" s="97" t="n"/>
      <c r="S293" s="97" t="n"/>
      <c r="T293" s="97" t="n"/>
      <c r="U293" s="97" t="n"/>
      <c r="V293" s="97" t="n"/>
      <c r="W293" s="97" t="n"/>
      <c r="X293" s="97" t="n"/>
      <c r="Y293" s="97" t="n"/>
      <c r="Z293" s="97" t="n"/>
      <c r="AA293" s="97" t="n"/>
      <c r="AB293" s="97" t="n"/>
      <c r="AC293" s="97" t="n"/>
      <c r="AD293" s="97" t="n"/>
      <c r="AE293" s="97" t="n"/>
      <c r="AF293" s="97" t="n"/>
      <c r="AG293" s="97" t="n"/>
      <c r="AH293" s="97" t="n"/>
      <c r="AI293" s="97" t="n"/>
      <c r="AJ293" s="97" t="n"/>
      <c r="AK293" s="97" t="n"/>
      <c r="AL293" s="97" t="n"/>
      <c r="AM293" s="97" t="n"/>
      <c r="AN293" s="97" t="n"/>
      <c r="AO293" s="97" t="n"/>
      <c r="AP293" s="97" t="n"/>
      <c r="AQ293" s="97" t="n"/>
      <c r="AR293" s="97" t="n"/>
      <c r="AS293" s="97" t="n"/>
      <c r="AT293" s="97" t="n"/>
      <c r="AU293" s="97" t="n"/>
      <c r="AV293" s="97" t="n"/>
      <c r="AW293" s="97" t="n"/>
      <c r="AX293" s="97" t="n"/>
      <c r="AY293" s="97" t="n"/>
      <c r="AZ293" s="97" t="n"/>
      <c r="BA293" s="97" t="n"/>
      <c r="BB293" s="97" t="n"/>
    </row>
    <row r="294" ht="22" customHeight="1" s="110">
      <c r="A294" s="96" t="n"/>
      <c r="B294" s="96" t="n"/>
      <c r="C294" s="96" t="n"/>
      <c r="D294" s="96" t="n"/>
      <c r="E294" s="96" t="n"/>
      <c r="F294" s="96" t="n"/>
      <c r="G294" s="96" t="n"/>
      <c r="H294" s="96" t="n"/>
      <c r="I294" s="96" t="n"/>
      <c r="J294" s="96" t="n"/>
      <c r="L294" s="96" t="n"/>
      <c r="M294" s="96" t="n"/>
      <c r="N294" s="96" t="n"/>
      <c r="O294" s="96" t="n"/>
      <c r="Q294" s="96" t="n"/>
      <c r="R294" s="96" t="n"/>
      <c r="S294" s="96" t="n"/>
      <c r="T294" s="96" t="n"/>
      <c r="U294" s="96" t="n"/>
      <c r="V294" s="96" t="n"/>
      <c r="W294" s="96" t="n"/>
      <c r="X294" s="96" t="n"/>
      <c r="Y294" s="96" t="n"/>
      <c r="Z294" s="96" t="n"/>
      <c r="AA294" s="96" t="n"/>
      <c r="AB294" s="96" t="n"/>
      <c r="AC294" s="96" t="n"/>
      <c r="AD294" s="96" t="n"/>
      <c r="AE294" s="96" t="n"/>
      <c r="AF294" s="96" t="n"/>
      <c r="AG294" s="96" t="n"/>
      <c r="AH294" s="96" t="n"/>
      <c r="AI294" s="96" t="n"/>
      <c r="AJ294" s="96" t="n"/>
      <c r="AK294" s="96" t="n"/>
      <c r="AL294" s="96" t="n"/>
      <c r="AM294" s="96" t="n"/>
      <c r="AN294" s="96" t="n"/>
      <c r="AO294" s="96" t="n"/>
      <c r="AP294" s="96" t="n"/>
      <c r="AQ294" s="96" t="n"/>
      <c r="AR294" s="96" t="n"/>
      <c r="AS294" s="96" t="n"/>
      <c r="AT294" s="96" t="n"/>
      <c r="AU294" s="96" t="n"/>
      <c r="AV294" s="96" t="n"/>
      <c r="AW294" s="96" t="n"/>
      <c r="AX294" s="96" t="n"/>
      <c r="AY294" s="96" t="n"/>
      <c r="AZ294" s="96" t="n"/>
      <c r="BA294" s="96" t="n"/>
      <c r="BB294" s="96" t="n"/>
    </row>
    <row r="295" ht="22" customHeight="1" s="110">
      <c r="A295" s="97" t="n"/>
      <c r="B295" s="97" t="n"/>
      <c r="C295" s="97" t="n"/>
      <c r="D295" s="97" t="n"/>
      <c r="E295" s="97" t="n"/>
      <c r="F295" s="97" t="n"/>
      <c r="G295" s="97" t="n"/>
      <c r="H295" s="97" t="n"/>
      <c r="I295" s="97" t="n"/>
      <c r="J295" s="97" t="n"/>
      <c r="L295" s="97" t="n"/>
      <c r="M295" s="97" t="n"/>
      <c r="N295" s="97" t="n"/>
      <c r="O295" s="97" t="n"/>
      <c r="Q295" s="97" t="n"/>
      <c r="R295" s="97" t="n"/>
      <c r="S295" s="97" t="n"/>
      <c r="T295" s="97" t="n"/>
      <c r="U295" s="97" t="n"/>
      <c r="V295" s="97" t="n"/>
      <c r="W295" s="97" t="n"/>
      <c r="X295" s="97" t="n"/>
      <c r="Y295" s="97" t="n"/>
      <c r="Z295" s="97" t="n"/>
      <c r="AA295" s="97" t="n"/>
      <c r="AB295" s="97" t="n"/>
      <c r="AC295" s="97" t="n"/>
      <c r="AD295" s="97" t="n"/>
      <c r="AE295" s="97" t="n"/>
      <c r="AF295" s="97" t="n"/>
      <c r="AG295" s="97" t="n"/>
      <c r="AH295" s="97" t="n"/>
      <c r="AI295" s="97" t="n"/>
      <c r="AJ295" s="97" t="n"/>
      <c r="AK295" s="97" t="n"/>
      <c r="AL295" s="97" t="n"/>
      <c r="AM295" s="97" t="n"/>
      <c r="AN295" s="97" t="n"/>
      <c r="AO295" s="97" t="n"/>
      <c r="AP295" s="97" t="n"/>
      <c r="AQ295" s="97" t="n"/>
      <c r="AR295" s="97" t="n"/>
      <c r="AS295" s="97" t="n"/>
      <c r="AT295" s="97" t="n"/>
      <c r="AU295" s="97" t="n"/>
      <c r="AV295" s="97" t="n"/>
      <c r="AW295" s="97" t="n"/>
      <c r="AX295" s="97" t="n"/>
      <c r="AY295" s="97" t="n"/>
      <c r="AZ295" s="97" t="n"/>
      <c r="BA295" s="97" t="n"/>
      <c r="BB295" s="97" t="n"/>
    </row>
    <row r="296" ht="22" customHeight="1" s="110">
      <c r="A296" s="96" t="n"/>
      <c r="B296" s="96" t="n"/>
      <c r="C296" s="96" t="n"/>
      <c r="D296" s="96" t="n"/>
      <c r="E296" s="96" t="n"/>
      <c r="F296" s="96" t="n"/>
      <c r="G296" s="96" t="n"/>
      <c r="H296" s="96" t="n"/>
      <c r="I296" s="96" t="n"/>
      <c r="J296" s="96" t="n"/>
      <c r="L296" s="96" t="n"/>
      <c r="M296" s="96" t="n"/>
      <c r="N296" s="96" t="n"/>
      <c r="O296" s="96" t="n"/>
      <c r="Q296" s="96" t="n"/>
      <c r="R296" s="96" t="n"/>
      <c r="S296" s="96" t="n"/>
      <c r="T296" s="96" t="n"/>
      <c r="U296" s="96" t="n"/>
      <c r="V296" s="96" t="n"/>
      <c r="W296" s="96" t="n"/>
      <c r="X296" s="96" t="n"/>
      <c r="Y296" s="96" t="n"/>
      <c r="Z296" s="96" t="n"/>
      <c r="AA296" s="96" t="n"/>
      <c r="AB296" s="96" t="n"/>
      <c r="AC296" s="96" t="n"/>
      <c r="AD296" s="96" t="n"/>
      <c r="AE296" s="96" t="n"/>
      <c r="AF296" s="96" t="n"/>
      <c r="AG296" s="96" t="n"/>
      <c r="AH296" s="96" t="n"/>
      <c r="AI296" s="96" t="n"/>
      <c r="AJ296" s="96" t="n"/>
      <c r="AK296" s="96" t="n"/>
      <c r="AL296" s="96" t="n"/>
      <c r="AM296" s="96" t="n"/>
      <c r="AN296" s="96" t="n"/>
      <c r="AO296" s="96" t="n"/>
      <c r="AP296" s="96" t="n"/>
      <c r="AQ296" s="96" t="n"/>
      <c r="AR296" s="96" t="n"/>
      <c r="AS296" s="96" t="n"/>
      <c r="AT296" s="96" t="n"/>
      <c r="AU296" s="96" t="n"/>
      <c r="AV296" s="96" t="n"/>
      <c r="AW296" s="96" t="n"/>
      <c r="AX296" s="96" t="n"/>
      <c r="AY296" s="96" t="n"/>
      <c r="AZ296" s="96" t="n"/>
      <c r="BA296" s="96" t="n"/>
      <c r="BB296" s="96" t="n"/>
    </row>
    <row r="297" ht="22" customHeight="1" s="110">
      <c r="A297" s="97" t="n"/>
      <c r="B297" s="97" t="n"/>
      <c r="C297" s="97" t="n"/>
      <c r="D297" s="97" t="n"/>
      <c r="E297" s="97" t="n"/>
      <c r="F297" s="97" t="n"/>
      <c r="G297" s="97" t="n"/>
      <c r="H297" s="97" t="n"/>
      <c r="I297" s="97" t="n"/>
      <c r="J297" s="97" t="n"/>
      <c r="L297" s="97" t="n"/>
      <c r="M297" s="97" t="n"/>
      <c r="N297" s="97" t="n"/>
      <c r="O297" s="97" t="n"/>
      <c r="Q297" s="97" t="n"/>
      <c r="R297" s="97" t="n"/>
      <c r="S297" s="97" t="n"/>
      <c r="T297" s="97" t="n"/>
      <c r="U297" s="97" t="n"/>
      <c r="V297" s="97" t="n"/>
      <c r="W297" s="97" t="n"/>
      <c r="X297" s="97" t="n"/>
      <c r="Y297" s="97" t="n"/>
      <c r="Z297" s="97" t="n"/>
      <c r="AA297" s="97" t="n"/>
      <c r="AB297" s="97" t="n"/>
      <c r="AC297" s="97" t="n"/>
      <c r="AD297" s="97" t="n"/>
      <c r="AE297" s="97" t="n"/>
      <c r="AF297" s="97" t="n"/>
      <c r="AG297" s="97" t="n"/>
      <c r="AH297" s="97" t="n"/>
      <c r="AI297" s="97" t="n"/>
      <c r="AJ297" s="97" t="n"/>
      <c r="AK297" s="97" t="n"/>
      <c r="AL297" s="97" t="n"/>
      <c r="AM297" s="97" t="n"/>
      <c r="AN297" s="97" t="n"/>
      <c r="AO297" s="97" t="n"/>
      <c r="AP297" s="97" t="n"/>
      <c r="AQ297" s="97" t="n"/>
      <c r="AR297" s="97" t="n"/>
      <c r="AS297" s="97" t="n"/>
      <c r="AT297" s="97" t="n"/>
      <c r="AU297" s="97" t="n"/>
      <c r="AV297" s="97" t="n"/>
      <c r="AW297" s="97" t="n"/>
      <c r="AX297" s="97" t="n"/>
      <c r="AY297" s="97" t="n"/>
      <c r="AZ297" s="97" t="n"/>
      <c r="BA297" s="97" t="n"/>
      <c r="BB297" s="97" t="n"/>
    </row>
    <row r="298" ht="22" customHeight="1" s="110">
      <c r="A298" s="96" t="n"/>
      <c r="B298" s="96" t="n"/>
      <c r="C298" s="96" t="n"/>
      <c r="D298" s="96" t="n"/>
      <c r="E298" s="96" t="n"/>
      <c r="F298" s="96" t="n"/>
      <c r="G298" s="96" t="n"/>
      <c r="H298" s="96" t="n"/>
      <c r="I298" s="96" t="n"/>
      <c r="J298" s="96" t="n"/>
      <c r="L298" s="96" t="n"/>
      <c r="M298" s="96" t="n"/>
      <c r="N298" s="96" t="n"/>
      <c r="O298" s="96" t="n"/>
      <c r="Q298" s="96" t="n"/>
      <c r="R298" s="96" t="n"/>
      <c r="S298" s="96" t="n"/>
      <c r="T298" s="96" t="n"/>
      <c r="U298" s="96" t="n"/>
      <c r="V298" s="96" t="n"/>
      <c r="W298" s="96" t="n"/>
      <c r="X298" s="96" t="n"/>
      <c r="Y298" s="96" t="n"/>
      <c r="Z298" s="96" t="n"/>
      <c r="AA298" s="96" t="n"/>
      <c r="AB298" s="96" t="n"/>
      <c r="AC298" s="96" t="n"/>
      <c r="AD298" s="96" t="n"/>
      <c r="AE298" s="96" t="n"/>
      <c r="AF298" s="96" t="n"/>
      <c r="AG298" s="96" t="n"/>
      <c r="AH298" s="96" t="n"/>
      <c r="AI298" s="96" t="n"/>
      <c r="AJ298" s="96" t="n"/>
      <c r="AK298" s="96" t="n"/>
      <c r="AL298" s="96" t="n"/>
      <c r="AM298" s="96" t="n"/>
      <c r="AN298" s="96" t="n"/>
      <c r="AO298" s="96" t="n"/>
      <c r="AP298" s="96" t="n"/>
      <c r="AQ298" s="96" t="n"/>
      <c r="AR298" s="96" t="n"/>
      <c r="AS298" s="96" t="n"/>
      <c r="AT298" s="96" t="n"/>
      <c r="AU298" s="96" t="n"/>
      <c r="AV298" s="96" t="n"/>
      <c r="AW298" s="96" t="n"/>
      <c r="AX298" s="96" t="n"/>
      <c r="AY298" s="96" t="n"/>
      <c r="AZ298" s="96" t="n"/>
      <c r="BA298" s="96" t="n"/>
      <c r="BB298" s="96" t="n"/>
    </row>
    <row r="299" ht="22" customHeight="1" s="110">
      <c r="A299" s="97" t="n"/>
      <c r="B299" s="97" t="n"/>
      <c r="C299" s="97" t="n"/>
      <c r="D299" s="97" t="n"/>
      <c r="E299" s="97" t="n"/>
      <c r="F299" s="97" t="n"/>
      <c r="G299" s="97" t="n"/>
      <c r="H299" s="97" t="n"/>
      <c r="I299" s="97" t="n"/>
      <c r="J299" s="97" t="n"/>
      <c r="L299" s="97" t="n"/>
      <c r="M299" s="97" t="n"/>
      <c r="N299" s="97" t="n"/>
      <c r="O299" s="97" t="n"/>
      <c r="Q299" s="97" t="n"/>
      <c r="R299" s="97" t="n"/>
      <c r="S299" s="97" t="n"/>
      <c r="T299" s="97" t="n"/>
      <c r="U299" s="97" t="n"/>
      <c r="V299" s="97" t="n"/>
      <c r="W299" s="97" t="n"/>
      <c r="X299" s="97" t="n"/>
      <c r="Y299" s="97" t="n"/>
      <c r="Z299" s="97" t="n"/>
      <c r="AA299" s="97" t="n"/>
      <c r="AB299" s="97" t="n"/>
      <c r="AC299" s="97" t="n"/>
      <c r="AD299" s="97" t="n"/>
      <c r="AE299" s="97" t="n"/>
      <c r="AF299" s="97" t="n"/>
      <c r="AG299" s="97" t="n"/>
      <c r="AH299" s="97" t="n"/>
      <c r="AI299" s="97" t="n"/>
      <c r="AJ299" s="97" t="n"/>
      <c r="AK299" s="97" t="n"/>
      <c r="AL299" s="97" t="n"/>
      <c r="AM299" s="97" t="n"/>
      <c r="AN299" s="97" t="n"/>
      <c r="AO299" s="97" t="n"/>
      <c r="AP299" s="97" t="n"/>
      <c r="AQ299" s="97" t="n"/>
      <c r="AR299" s="97" t="n"/>
      <c r="AS299" s="97" t="n"/>
      <c r="AT299" s="97" t="n"/>
      <c r="AU299" s="97" t="n"/>
      <c r="AV299" s="97" t="n"/>
      <c r="AW299" s="97" t="n"/>
      <c r="AX299" s="97" t="n"/>
      <c r="AY299" s="97" t="n"/>
      <c r="AZ299" s="97" t="n"/>
      <c r="BA299" s="97" t="n"/>
      <c r="BB299" s="97" t="n"/>
    </row>
    <row r="300" ht="22" customHeight="1" s="110">
      <c r="A300" s="96" t="n"/>
      <c r="B300" s="96" t="n"/>
      <c r="C300" s="96" t="n"/>
      <c r="D300" s="96" t="n"/>
      <c r="E300" s="96" t="n"/>
      <c r="F300" s="96" t="n"/>
      <c r="G300" s="96" t="n"/>
      <c r="H300" s="96" t="n"/>
      <c r="I300" s="96" t="n"/>
      <c r="J300" s="96" t="n"/>
      <c r="L300" s="96" t="n"/>
      <c r="M300" s="96" t="n"/>
      <c r="N300" s="96" t="n"/>
      <c r="O300" s="96" t="n"/>
      <c r="Q300" s="96" t="n"/>
      <c r="R300" s="96" t="n"/>
      <c r="S300" s="96" t="n"/>
      <c r="T300" s="96" t="n"/>
      <c r="U300" s="96" t="n"/>
      <c r="V300" s="96" t="n"/>
      <c r="W300" s="96" t="n"/>
      <c r="X300" s="96" t="n"/>
      <c r="Y300" s="96" t="n"/>
      <c r="Z300" s="96" t="n"/>
      <c r="AA300" s="96" t="n"/>
      <c r="AB300" s="96" t="n"/>
      <c r="AC300" s="96" t="n"/>
      <c r="AD300" s="96" t="n"/>
      <c r="AE300" s="96" t="n"/>
      <c r="AF300" s="96" t="n"/>
      <c r="AG300" s="96" t="n"/>
      <c r="AH300" s="96" t="n"/>
      <c r="AI300" s="96" t="n"/>
      <c r="AJ300" s="96" t="n"/>
      <c r="AK300" s="96" t="n"/>
      <c r="AL300" s="96" t="n"/>
      <c r="AM300" s="96" t="n"/>
      <c r="AN300" s="96" t="n"/>
      <c r="AO300" s="96" t="n"/>
      <c r="AP300" s="96" t="n"/>
      <c r="AQ300" s="96" t="n"/>
      <c r="AR300" s="96" t="n"/>
      <c r="AS300" s="96" t="n"/>
      <c r="AT300" s="96" t="n"/>
      <c r="AU300" s="96" t="n"/>
      <c r="AV300" s="96" t="n"/>
      <c r="AW300" s="96" t="n"/>
      <c r="AX300" s="96" t="n"/>
      <c r="AY300" s="96" t="n"/>
      <c r="AZ300" s="96" t="n"/>
      <c r="BA300" s="96" t="n"/>
      <c r="BB300" s="96" t="n"/>
    </row>
    <row r="301" ht="22" customHeight="1" s="110">
      <c r="A301" s="97" t="n"/>
      <c r="B301" s="97" t="n"/>
      <c r="C301" s="97" t="n"/>
      <c r="D301" s="97" t="n"/>
      <c r="E301" s="97" t="n"/>
      <c r="F301" s="97" t="n"/>
      <c r="G301" s="97" t="n"/>
      <c r="H301" s="97" t="n"/>
      <c r="I301" s="97" t="n"/>
      <c r="J301" s="97" t="n"/>
      <c r="L301" s="97" t="n"/>
      <c r="M301" s="97" t="n"/>
      <c r="N301" s="97" t="n"/>
      <c r="O301" s="97" t="n"/>
      <c r="Q301" s="97" t="n"/>
      <c r="R301" s="97" t="n"/>
      <c r="S301" s="97" t="n"/>
      <c r="T301" s="97" t="n"/>
      <c r="U301" s="97" t="n"/>
      <c r="V301" s="97" t="n"/>
      <c r="W301" s="97" t="n"/>
      <c r="X301" s="97" t="n"/>
      <c r="Y301" s="97" t="n"/>
      <c r="Z301" s="97" t="n"/>
      <c r="AA301" s="97" t="n"/>
      <c r="AB301" s="97" t="n"/>
      <c r="AC301" s="97" t="n"/>
      <c r="AD301" s="97" t="n"/>
      <c r="AE301" s="97" t="n"/>
      <c r="AF301" s="97" t="n"/>
      <c r="AG301" s="97" t="n"/>
      <c r="AH301" s="97" t="n"/>
      <c r="AI301" s="97" t="n"/>
      <c r="AJ301" s="97" t="n"/>
      <c r="AK301" s="97" t="n"/>
      <c r="AL301" s="97" t="n"/>
      <c r="AM301" s="97" t="n"/>
      <c r="AN301" s="97" t="n"/>
      <c r="AO301" s="97" t="n"/>
      <c r="AP301" s="97" t="n"/>
      <c r="AQ301" s="97" t="n"/>
      <c r="AR301" s="97" t="n"/>
      <c r="AS301" s="97" t="n"/>
      <c r="AT301" s="97" t="n"/>
      <c r="AU301" s="97" t="n"/>
      <c r="AV301" s="97" t="n"/>
      <c r="AW301" s="97" t="n"/>
      <c r="AX301" s="97" t="n"/>
      <c r="AY301" s="97" t="n"/>
      <c r="AZ301" s="97" t="n"/>
      <c r="BA301" s="97" t="n"/>
      <c r="BB301" s="97" t="n"/>
    </row>
    <row r="302" ht="22" customHeight="1" s="110">
      <c r="A302" s="96" t="n"/>
      <c r="B302" s="96" t="n"/>
      <c r="C302" s="96" t="n"/>
      <c r="D302" s="96" t="n"/>
      <c r="E302" s="96" t="n"/>
      <c r="F302" s="96" t="n"/>
      <c r="G302" s="96" t="n"/>
      <c r="H302" s="96" t="n"/>
      <c r="I302" s="96" t="n"/>
      <c r="J302" s="96" t="n"/>
      <c r="L302" s="96" t="n"/>
      <c r="M302" s="96" t="n"/>
      <c r="N302" s="96" t="n"/>
      <c r="O302" s="96" t="n"/>
      <c r="Q302" s="96" t="n"/>
      <c r="R302" s="96" t="n"/>
      <c r="S302" s="96" t="n"/>
      <c r="T302" s="96" t="n"/>
      <c r="U302" s="96" t="n"/>
      <c r="V302" s="96" t="n"/>
      <c r="W302" s="96" t="n"/>
      <c r="X302" s="96" t="n"/>
      <c r="Y302" s="96" t="n"/>
      <c r="Z302" s="96" t="n"/>
      <c r="AA302" s="96" t="n"/>
      <c r="AB302" s="96" t="n"/>
      <c r="AC302" s="96" t="n"/>
      <c r="AD302" s="96" t="n"/>
      <c r="AE302" s="96" t="n"/>
      <c r="AF302" s="96" t="n"/>
      <c r="AG302" s="96" t="n"/>
      <c r="AH302" s="96" t="n"/>
      <c r="AI302" s="96" t="n"/>
      <c r="AJ302" s="96" t="n"/>
      <c r="AK302" s="96" t="n"/>
      <c r="AL302" s="96" t="n"/>
      <c r="AM302" s="96" t="n"/>
      <c r="AN302" s="96" t="n"/>
      <c r="AO302" s="96" t="n"/>
      <c r="AP302" s="96" t="n"/>
      <c r="AQ302" s="96" t="n"/>
      <c r="AR302" s="96" t="n"/>
      <c r="AS302" s="96" t="n"/>
      <c r="AT302" s="96" t="n"/>
      <c r="AU302" s="96" t="n"/>
      <c r="AV302" s="96" t="n"/>
      <c r="AW302" s="96" t="n"/>
      <c r="AX302" s="96" t="n"/>
      <c r="AY302" s="96" t="n"/>
      <c r="AZ302" s="96" t="n"/>
      <c r="BA302" s="96" t="n"/>
      <c r="BB302" s="96" t="n"/>
    </row>
    <row r="303" ht="22" customHeight="1" s="110">
      <c r="A303" s="97" t="n"/>
      <c r="B303" s="97" t="n"/>
      <c r="C303" s="97" t="n"/>
      <c r="D303" s="97" t="n"/>
      <c r="E303" s="97" t="n"/>
      <c r="F303" s="97" t="n"/>
      <c r="G303" s="97" t="n"/>
      <c r="H303" s="97" t="n"/>
      <c r="I303" s="97" t="n"/>
      <c r="J303" s="97" t="n"/>
      <c r="L303" s="97" t="n"/>
      <c r="M303" s="97" t="n"/>
      <c r="N303" s="97" t="n"/>
      <c r="O303" s="97" t="n"/>
      <c r="Q303" s="97" t="n"/>
      <c r="R303" s="97" t="n"/>
      <c r="S303" s="97" t="n"/>
      <c r="T303" s="97" t="n"/>
      <c r="U303" s="97" t="n"/>
      <c r="V303" s="97" t="n"/>
      <c r="W303" s="97" t="n"/>
      <c r="X303" s="97" t="n"/>
      <c r="Y303" s="97" t="n"/>
      <c r="Z303" s="97" t="n"/>
      <c r="AA303" s="97" t="n"/>
      <c r="AB303" s="97" t="n"/>
      <c r="AC303" s="97" t="n"/>
      <c r="AD303" s="97" t="n"/>
      <c r="AE303" s="97" t="n"/>
      <c r="AF303" s="97" t="n"/>
      <c r="AG303" s="97" t="n"/>
      <c r="AH303" s="97" t="n"/>
      <c r="AI303" s="97" t="n"/>
      <c r="AJ303" s="97" t="n"/>
      <c r="AK303" s="97" t="n"/>
      <c r="AL303" s="97" t="n"/>
      <c r="AM303" s="97" t="n"/>
      <c r="AN303" s="97" t="n"/>
      <c r="AO303" s="97" t="n"/>
      <c r="AP303" s="97" t="n"/>
      <c r="AQ303" s="97" t="n"/>
      <c r="AR303" s="97" t="n"/>
      <c r="AS303" s="97" t="n"/>
      <c r="AT303" s="97" t="n"/>
      <c r="AU303" s="97" t="n"/>
      <c r="AV303" s="97" t="n"/>
      <c r="AW303" s="97" t="n"/>
      <c r="AX303" s="97" t="n"/>
      <c r="AY303" s="97" t="n"/>
      <c r="AZ303" s="97" t="n"/>
      <c r="BA303" s="97" t="n"/>
      <c r="BB303" s="97" t="n"/>
    </row>
    <row r="304" ht="22" customHeight="1" s="110">
      <c r="A304" s="96" t="n"/>
      <c r="B304" s="96" t="n"/>
      <c r="C304" s="96" t="n"/>
      <c r="D304" s="96" t="n"/>
      <c r="E304" s="96" t="n"/>
      <c r="F304" s="96" t="n"/>
      <c r="G304" s="96" t="n"/>
      <c r="H304" s="96" t="n"/>
      <c r="I304" s="96" t="n"/>
      <c r="J304" s="96" t="n"/>
      <c r="L304" s="96" t="n"/>
      <c r="M304" s="96" t="n"/>
      <c r="N304" s="96" t="n"/>
      <c r="O304" s="96" t="n"/>
      <c r="Q304" s="96" t="n"/>
      <c r="R304" s="96" t="n"/>
      <c r="S304" s="96" t="n"/>
      <c r="T304" s="96" t="n"/>
      <c r="U304" s="96" t="n"/>
      <c r="V304" s="96" t="n"/>
      <c r="W304" s="96" t="n"/>
      <c r="X304" s="96" t="n"/>
      <c r="Y304" s="96" t="n"/>
      <c r="Z304" s="96" t="n"/>
      <c r="AA304" s="96" t="n"/>
      <c r="AB304" s="96" t="n"/>
      <c r="AC304" s="96" t="n"/>
      <c r="AD304" s="96" t="n"/>
      <c r="AE304" s="96" t="n"/>
      <c r="AF304" s="96" t="n"/>
      <c r="AG304" s="96" t="n"/>
      <c r="AH304" s="96" t="n"/>
      <c r="AI304" s="96" t="n"/>
      <c r="AJ304" s="96" t="n"/>
      <c r="AK304" s="96" t="n"/>
      <c r="AL304" s="96" t="n"/>
      <c r="AM304" s="96" t="n"/>
      <c r="AN304" s="96" t="n"/>
      <c r="AO304" s="96" t="n"/>
      <c r="AP304" s="96" t="n"/>
      <c r="AQ304" s="96" t="n"/>
      <c r="AR304" s="96" t="n"/>
      <c r="AS304" s="96" t="n"/>
      <c r="AT304" s="96" t="n"/>
      <c r="AU304" s="96" t="n"/>
      <c r="AV304" s="96" t="n"/>
      <c r="AW304" s="96" t="n"/>
      <c r="AX304" s="96" t="n"/>
      <c r="AY304" s="96" t="n"/>
      <c r="AZ304" s="96" t="n"/>
      <c r="BA304" s="96" t="n"/>
      <c r="BB304" s="96" t="n"/>
    </row>
    <row r="305" ht="22" customHeight="1" s="110">
      <c r="A305" s="97" t="n"/>
      <c r="B305" s="97" t="n"/>
      <c r="C305" s="97" t="n"/>
      <c r="D305" s="97" t="n"/>
      <c r="E305" s="97" t="n"/>
      <c r="F305" s="97" t="n"/>
      <c r="G305" s="97" t="n"/>
      <c r="H305" s="97" t="n"/>
      <c r="I305" s="97" t="n"/>
      <c r="J305" s="97" t="n"/>
      <c r="L305" s="97" t="n"/>
      <c r="M305" s="97" t="n"/>
      <c r="N305" s="97" t="n"/>
      <c r="O305" s="97" t="n"/>
      <c r="Q305" s="97" t="n"/>
      <c r="R305" s="97" t="n"/>
      <c r="S305" s="97" t="n"/>
      <c r="T305" s="97" t="n"/>
      <c r="U305" s="97" t="n"/>
      <c r="V305" s="97" t="n"/>
      <c r="W305" s="97" t="n"/>
      <c r="X305" s="97" t="n"/>
      <c r="Y305" s="97" t="n"/>
      <c r="Z305" s="97" t="n"/>
      <c r="AA305" s="97" t="n"/>
      <c r="AB305" s="97" t="n"/>
      <c r="AC305" s="97" t="n"/>
      <c r="AD305" s="97" t="n"/>
      <c r="AE305" s="97" t="n"/>
      <c r="AF305" s="97" t="n"/>
      <c r="AG305" s="97" t="n"/>
      <c r="AH305" s="97" t="n"/>
      <c r="AI305" s="97" t="n"/>
      <c r="AJ305" s="97" t="n"/>
      <c r="AK305" s="97" t="n"/>
      <c r="AL305" s="97" t="n"/>
      <c r="AM305" s="97" t="n"/>
      <c r="AN305" s="97" t="n"/>
      <c r="AO305" s="97" t="n"/>
      <c r="AP305" s="97" t="n"/>
      <c r="AQ305" s="97" t="n"/>
      <c r="AR305" s="97" t="n"/>
      <c r="AS305" s="97" t="n"/>
      <c r="AT305" s="97" t="n"/>
      <c r="AU305" s="97" t="n"/>
      <c r="AV305" s="97" t="n"/>
      <c r="AW305" s="97" t="n"/>
      <c r="AX305" s="97" t="n"/>
      <c r="AY305" s="97" t="n"/>
      <c r="AZ305" s="97" t="n"/>
      <c r="BA305" s="97" t="n"/>
      <c r="BB305" s="97" t="n"/>
    </row>
    <row r="306" ht="22" customHeight="1" s="110">
      <c r="A306" s="96" t="n"/>
      <c r="B306" s="96" t="n"/>
      <c r="C306" s="96" t="n"/>
      <c r="D306" s="96" t="n"/>
      <c r="E306" s="96" t="n"/>
      <c r="F306" s="96" t="n"/>
      <c r="G306" s="96" t="n"/>
      <c r="H306" s="96" t="n"/>
      <c r="I306" s="96" t="n"/>
      <c r="J306" s="96" t="n"/>
      <c r="L306" s="96" t="n"/>
      <c r="M306" s="96" t="n"/>
      <c r="N306" s="96" t="n"/>
      <c r="O306" s="96" t="n"/>
      <c r="Q306" s="96" t="n"/>
      <c r="R306" s="96" t="n"/>
      <c r="S306" s="96" t="n"/>
      <c r="T306" s="96" t="n"/>
      <c r="U306" s="96" t="n"/>
      <c r="V306" s="96" t="n"/>
      <c r="W306" s="96" t="n"/>
      <c r="X306" s="96" t="n"/>
      <c r="Y306" s="96" t="n"/>
      <c r="Z306" s="96" t="n"/>
      <c r="AA306" s="96" t="n"/>
      <c r="AB306" s="96" t="n"/>
      <c r="AC306" s="96" t="n"/>
      <c r="AD306" s="96" t="n"/>
      <c r="AE306" s="96" t="n"/>
      <c r="AF306" s="96" t="n"/>
      <c r="AG306" s="96" t="n"/>
      <c r="AH306" s="96" t="n"/>
      <c r="AI306" s="96" t="n"/>
      <c r="AJ306" s="96" t="n"/>
      <c r="AK306" s="96" t="n"/>
      <c r="AL306" s="96" t="n"/>
      <c r="AM306" s="96" t="n"/>
      <c r="AN306" s="96" t="n"/>
      <c r="AO306" s="96" t="n"/>
      <c r="AP306" s="96" t="n"/>
      <c r="AQ306" s="96" t="n"/>
      <c r="AR306" s="96" t="n"/>
      <c r="AS306" s="96" t="n"/>
      <c r="AT306" s="96" t="n"/>
      <c r="AU306" s="96" t="n"/>
      <c r="AV306" s="96" t="n"/>
      <c r="AW306" s="96" t="n"/>
      <c r="AX306" s="96" t="n"/>
      <c r="AY306" s="96" t="n"/>
      <c r="AZ306" s="96" t="n"/>
      <c r="BA306" s="96" t="n"/>
      <c r="BB306" s="96" t="n"/>
    </row>
    <row r="307" ht="22" customHeight="1" s="110">
      <c r="A307" s="97" t="n"/>
      <c r="B307" s="97" t="n"/>
      <c r="C307" s="97" t="n"/>
      <c r="D307" s="97" t="n"/>
      <c r="E307" s="97" t="n"/>
      <c r="F307" s="97" t="n"/>
      <c r="G307" s="97" t="n"/>
      <c r="H307" s="97" t="n"/>
      <c r="I307" s="97" t="n"/>
      <c r="J307" s="97" t="n"/>
      <c r="L307" s="97" t="n"/>
      <c r="M307" s="97" t="n"/>
      <c r="N307" s="97" t="n"/>
      <c r="O307" s="97" t="n"/>
      <c r="Q307" s="97" t="n"/>
      <c r="R307" s="97" t="n"/>
      <c r="S307" s="97" t="n"/>
      <c r="T307" s="97" t="n"/>
      <c r="U307" s="97" t="n"/>
      <c r="V307" s="97" t="n"/>
      <c r="W307" s="97" t="n"/>
      <c r="X307" s="97" t="n"/>
      <c r="Y307" s="97" t="n"/>
      <c r="Z307" s="97" t="n"/>
      <c r="AA307" s="97" t="n"/>
      <c r="AB307" s="97" t="n"/>
      <c r="AC307" s="97" t="n"/>
      <c r="AD307" s="97" t="n"/>
      <c r="AE307" s="97" t="n"/>
      <c r="AF307" s="97" t="n"/>
      <c r="AG307" s="97" t="n"/>
      <c r="AH307" s="97" t="n"/>
      <c r="AI307" s="97" t="n"/>
      <c r="AJ307" s="97" t="n"/>
      <c r="AK307" s="97" t="n"/>
      <c r="AL307" s="97" t="n"/>
      <c r="AM307" s="97" t="n"/>
      <c r="AN307" s="97" t="n"/>
      <c r="AO307" s="97" t="n"/>
      <c r="AP307" s="97" t="n"/>
      <c r="AQ307" s="97" t="n"/>
      <c r="AR307" s="97" t="n"/>
      <c r="AS307" s="97" t="n"/>
      <c r="AT307" s="97" t="n"/>
      <c r="AU307" s="97" t="n"/>
      <c r="AV307" s="97" t="n"/>
      <c r="AW307" s="97" t="n"/>
      <c r="AX307" s="97" t="n"/>
      <c r="AY307" s="97" t="n"/>
      <c r="AZ307" s="97" t="n"/>
      <c r="BA307" s="97" t="n"/>
      <c r="BB307" s="97" t="n"/>
    </row>
    <row r="308" ht="22" customHeight="1" s="110">
      <c r="A308" s="96" t="n"/>
      <c r="B308" s="96" t="n"/>
      <c r="C308" s="96" t="n"/>
      <c r="D308" s="96" t="n"/>
      <c r="E308" s="96" t="n"/>
      <c r="F308" s="96" t="n"/>
      <c r="G308" s="96" t="n"/>
      <c r="H308" s="96" t="n"/>
      <c r="I308" s="96" t="n"/>
      <c r="J308" s="96" t="n"/>
      <c r="L308" s="96" t="n"/>
      <c r="M308" s="96" t="n"/>
      <c r="N308" s="96" t="n"/>
      <c r="O308" s="96" t="n"/>
      <c r="Q308" s="96" t="n"/>
      <c r="R308" s="96" t="n"/>
      <c r="S308" s="96" t="n"/>
      <c r="T308" s="96" t="n"/>
      <c r="U308" s="96" t="n"/>
      <c r="V308" s="96" t="n"/>
      <c r="W308" s="96" t="n"/>
      <c r="X308" s="96" t="n"/>
      <c r="Y308" s="96" t="n"/>
      <c r="Z308" s="96" t="n"/>
      <c r="AA308" s="96" t="n"/>
      <c r="AB308" s="96" t="n"/>
      <c r="AC308" s="96" t="n"/>
      <c r="AD308" s="96" t="n"/>
      <c r="AE308" s="96" t="n"/>
      <c r="AF308" s="96" t="n"/>
      <c r="AG308" s="96" t="n"/>
      <c r="AH308" s="96" t="n"/>
      <c r="AI308" s="96" t="n"/>
      <c r="AJ308" s="96" t="n"/>
      <c r="AK308" s="96" t="n"/>
      <c r="AL308" s="96" t="n"/>
      <c r="AM308" s="96" t="n"/>
      <c r="AN308" s="96" t="n"/>
      <c r="AO308" s="96" t="n"/>
      <c r="AP308" s="96" t="n"/>
      <c r="AQ308" s="96" t="n"/>
      <c r="AR308" s="96" t="n"/>
      <c r="AS308" s="96" t="n"/>
      <c r="AT308" s="96" t="n"/>
      <c r="AU308" s="96" t="n"/>
      <c r="AV308" s="96" t="n"/>
      <c r="AW308" s="96" t="n"/>
      <c r="AX308" s="96" t="n"/>
      <c r="AY308" s="96" t="n"/>
      <c r="AZ308" s="96" t="n"/>
      <c r="BA308" s="96" t="n"/>
      <c r="BB308" s="96" t="n"/>
    </row>
    <row r="309" ht="22" customHeight="1" s="110">
      <c r="A309" s="97" t="n"/>
      <c r="B309" s="97" t="n"/>
      <c r="C309" s="97" t="n"/>
      <c r="D309" s="97" t="n"/>
      <c r="E309" s="97" t="n"/>
      <c r="F309" s="97" t="n"/>
      <c r="G309" s="97" t="n"/>
      <c r="H309" s="97" t="n"/>
      <c r="I309" s="97" t="n"/>
      <c r="J309" s="97" t="n"/>
      <c r="L309" s="97" t="n"/>
      <c r="M309" s="97" t="n"/>
      <c r="N309" s="97" t="n"/>
      <c r="O309" s="97" t="n"/>
      <c r="Q309" s="97" t="n"/>
      <c r="R309" s="97" t="n"/>
      <c r="S309" s="97" t="n"/>
      <c r="T309" s="97" t="n"/>
      <c r="U309" s="97" t="n"/>
      <c r="V309" s="97" t="n"/>
      <c r="W309" s="97" t="n"/>
      <c r="X309" s="97" t="n"/>
      <c r="Y309" s="97" t="n"/>
      <c r="Z309" s="97" t="n"/>
      <c r="AA309" s="97" t="n"/>
      <c r="AB309" s="97" t="n"/>
      <c r="AC309" s="97" t="n"/>
      <c r="AD309" s="97" t="n"/>
      <c r="AE309" s="97" t="n"/>
      <c r="AF309" s="97" t="n"/>
      <c r="AG309" s="97" t="n"/>
      <c r="AH309" s="97" t="n"/>
      <c r="AI309" s="97" t="n"/>
      <c r="AJ309" s="97" t="n"/>
      <c r="AK309" s="97" t="n"/>
      <c r="AL309" s="97" t="n"/>
      <c r="AM309" s="97" t="n"/>
      <c r="AN309" s="97" t="n"/>
      <c r="AO309" s="97" t="n"/>
      <c r="AP309" s="97" t="n"/>
      <c r="AQ309" s="97" t="n"/>
      <c r="AR309" s="97" t="n"/>
      <c r="AS309" s="97" t="n"/>
      <c r="AT309" s="97" t="n"/>
      <c r="AU309" s="97" t="n"/>
      <c r="AV309" s="97" t="n"/>
      <c r="AW309" s="97" t="n"/>
      <c r="AX309" s="97" t="n"/>
      <c r="AY309" s="97" t="n"/>
      <c r="AZ309" s="97" t="n"/>
      <c r="BA309" s="97" t="n"/>
      <c r="BB309" s="97" t="n"/>
    </row>
    <row r="310" ht="22" customHeight="1" s="110">
      <c r="A310" s="96" t="n"/>
      <c r="B310" s="96" t="n"/>
      <c r="C310" s="96" t="n"/>
      <c r="D310" s="96" t="n"/>
      <c r="E310" s="96" t="n"/>
      <c r="F310" s="96" t="n"/>
      <c r="G310" s="96" t="n"/>
      <c r="H310" s="96" t="n"/>
      <c r="I310" s="96" t="n"/>
      <c r="J310" s="96" t="n"/>
      <c r="L310" s="96" t="n"/>
      <c r="M310" s="96" t="n"/>
      <c r="N310" s="96" t="n"/>
      <c r="O310" s="96" t="n"/>
      <c r="Q310" s="96" t="n"/>
      <c r="R310" s="96" t="n"/>
      <c r="S310" s="96" t="n"/>
      <c r="T310" s="96" t="n"/>
      <c r="U310" s="96" t="n"/>
      <c r="V310" s="96" t="n"/>
      <c r="W310" s="96" t="n"/>
      <c r="X310" s="96" t="n"/>
      <c r="Y310" s="96" t="n"/>
      <c r="Z310" s="96" t="n"/>
      <c r="AA310" s="96" t="n"/>
      <c r="AB310" s="96" t="n"/>
      <c r="AC310" s="96" t="n"/>
      <c r="AD310" s="96" t="n"/>
      <c r="AE310" s="96" t="n"/>
      <c r="AF310" s="96" t="n"/>
      <c r="AG310" s="96" t="n"/>
      <c r="AH310" s="96" t="n"/>
      <c r="AI310" s="96" t="n"/>
      <c r="AJ310" s="96" t="n"/>
      <c r="AK310" s="96" t="n"/>
      <c r="AL310" s="96" t="n"/>
      <c r="AM310" s="96" t="n"/>
      <c r="AN310" s="96" t="n"/>
      <c r="AO310" s="96" t="n"/>
      <c r="AP310" s="96" t="n"/>
      <c r="AQ310" s="96" t="n"/>
      <c r="AR310" s="96" t="n"/>
      <c r="AS310" s="96" t="n"/>
      <c r="AT310" s="96" t="n"/>
      <c r="AU310" s="96" t="n"/>
      <c r="AV310" s="96" t="n"/>
      <c r="AW310" s="96" t="n"/>
      <c r="AX310" s="96" t="n"/>
      <c r="AY310" s="96" t="n"/>
      <c r="AZ310" s="96" t="n"/>
      <c r="BA310" s="96" t="n"/>
      <c r="BB310" s="96" t="n"/>
    </row>
    <row r="311" ht="22" customHeight="1" s="110">
      <c r="A311" s="97" t="n"/>
      <c r="B311" s="97" t="n"/>
      <c r="C311" s="97" t="n"/>
      <c r="D311" s="97" t="n"/>
      <c r="E311" s="97" t="n"/>
      <c r="F311" s="97" t="n"/>
      <c r="G311" s="97" t="n"/>
      <c r="H311" s="97" t="n"/>
      <c r="I311" s="97" t="n"/>
      <c r="J311" s="97" t="n"/>
      <c r="L311" s="97" t="n"/>
      <c r="M311" s="97" t="n"/>
      <c r="N311" s="97" t="n"/>
      <c r="O311" s="97" t="n"/>
      <c r="Q311" s="97" t="n"/>
      <c r="R311" s="97" t="n"/>
      <c r="S311" s="97" t="n"/>
      <c r="T311" s="97" t="n"/>
      <c r="U311" s="97" t="n"/>
      <c r="V311" s="97" t="n"/>
      <c r="W311" s="97" t="n"/>
      <c r="X311" s="97" t="n"/>
      <c r="Y311" s="97" t="n"/>
      <c r="Z311" s="97" t="n"/>
      <c r="AA311" s="97" t="n"/>
      <c r="AB311" s="97" t="n"/>
      <c r="AC311" s="97" t="n"/>
      <c r="AD311" s="97" t="n"/>
      <c r="AE311" s="97" t="n"/>
      <c r="AF311" s="97" t="n"/>
      <c r="AG311" s="97" t="n"/>
      <c r="AH311" s="97" t="n"/>
      <c r="AI311" s="97" t="n"/>
      <c r="AJ311" s="97" t="n"/>
      <c r="AK311" s="97" t="n"/>
      <c r="AL311" s="97" t="n"/>
      <c r="AM311" s="97" t="n"/>
      <c r="AN311" s="97" t="n"/>
      <c r="AO311" s="97" t="n"/>
      <c r="AP311" s="97" t="n"/>
      <c r="AQ311" s="97" t="n"/>
      <c r="AR311" s="97" t="n"/>
      <c r="AS311" s="97" t="n"/>
      <c r="AT311" s="97" t="n"/>
      <c r="AU311" s="97" t="n"/>
      <c r="AV311" s="97" t="n"/>
      <c r="AW311" s="97" t="n"/>
      <c r="AX311" s="97" t="n"/>
      <c r="AY311" s="97" t="n"/>
      <c r="AZ311" s="97" t="n"/>
      <c r="BA311" s="97" t="n"/>
      <c r="BB311" s="97" t="n"/>
    </row>
    <row r="312" ht="22" customHeight="1" s="110">
      <c r="A312" s="96" t="n"/>
      <c r="B312" s="96" t="n"/>
      <c r="C312" s="96" t="n"/>
      <c r="D312" s="96" t="n"/>
      <c r="E312" s="96" t="n"/>
      <c r="F312" s="96" t="n"/>
      <c r="G312" s="96" t="n"/>
      <c r="H312" s="96" t="n"/>
      <c r="I312" s="96" t="n"/>
      <c r="J312" s="96" t="n"/>
      <c r="L312" s="96" t="n"/>
      <c r="M312" s="96" t="n"/>
      <c r="N312" s="96" t="n"/>
      <c r="O312" s="96" t="n"/>
      <c r="Q312" s="96" t="n"/>
      <c r="R312" s="96" t="n"/>
      <c r="S312" s="96" t="n"/>
      <c r="T312" s="96" t="n"/>
      <c r="U312" s="96" t="n"/>
      <c r="V312" s="96" t="n"/>
      <c r="W312" s="96" t="n"/>
      <c r="X312" s="96" t="n"/>
      <c r="Y312" s="96" t="n"/>
      <c r="Z312" s="96" t="n"/>
      <c r="AA312" s="96" t="n"/>
      <c r="AB312" s="96" t="n"/>
      <c r="AC312" s="96" t="n"/>
      <c r="AD312" s="96" t="n"/>
      <c r="AE312" s="96" t="n"/>
      <c r="AF312" s="96" t="n"/>
      <c r="AG312" s="96" t="n"/>
      <c r="AH312" s="96" t="n"/>
      <c r="AI312" s="96" t="n"/>
      <c r="AJ312" s="96" t="n"/>
      <c r="AK312" s="96" t="n"/>
      <c r="AL312" s="96" t="n"/>
      <c r="AM312" s="96" t="n"/>
      <c r="AN312" s="96" t="n"/>
      <c r="AO312" s="96" t="n"/>
      <c r="AP312" s="96" t="n"/>
      <c r="AQ312" s="96" t="n"/>
      <c r="AR312" s="96" t="n"/>
      <c r="AS312" s="96" t="n"/>
      <c r="AT312" s="96" t="n"/>
      <c r="AU312" s="96" t="n"/>
      <c r="AV312" s="96" t="n"/>
      <c r="AW312" s="96" t="n"/>
      <c r="AX312" s="96" t="n"/>
      <c r="AY312" s="96" t="n"/>
      <c r="AZ312" s="96" t="n"/>
      <c r="BA312" s="96" t="n"/>
      <c r="BB312" s="96" t="n"/>
    </row>
    <row r="313" ht="22" customHeight="1" s="110">
      <c r="A313" s="97" t="n"/>
      <c r="B313" s="97" t="n"/>
      <c r="C313" s="97" t="n"/>
      <c r="D313" s="97" t="n"/>
      <c r="E313" s="97" t="n"/>
      <c r="F313" s="97" t="n"/>
      <c r="G313" s="97" t="n"/>
      <c r="H313" s="97" t="n"/>
      <c r="I313" s="97" t="n"/>
      <c r="J313" s="97" t="n"/>
      <c r="L313" s="97" t="n"/>
      <c r="M313" s="97" t="n"/>
      <c r="N313" s="97" t="n"/>
      <c r="O313" s="97" t="n"/>
      <c r="Q313" s="97" t="n"/>
      <c r="R313" s="97" t="n"/>
      <c r="S313" s="97" t="n"/>
      <c r="T313" s="97" t="n"/>
      <c r="U313" s="97" t="n"/>
      <c r="V313" s="97" t="n"/>
      <c r="W313" s="97" t="n"/>
      <c r="X313" s="97" t="n"/>
      <c r="Y313" s="97" t="n"/>
      <c r="Z313" s="97" t="n"/>
      <c r="AA313" s="97" t="n"/>
      <c r="AB313" s="97" t="n"/>
      <c r="AC313" s="97" t="n"/>
      <c r="AD313" s="97" t="n"/>
      <c r="AE313" s="97" t="n"/>
      <c r="AF313" s="97" t="n"/>
      <c r="AG313" s="97" t="n"/>
      <c r="AH313" s="97" t="n"/>
      <c r="AI313" s="97" t="n"/>
      <c r="AJ313" s="97" t="n"/>
      <c r="AK313" s="97" t="n"/>
      <c r="AL313" s="97" t="n"/>
      <c r="AM313" s="97" t="n"/>
      <c r="AN313" s="97" t="n"/>
      <c r="AO313" s="97" t="n"/>
      <c r="AP313" s="97" t="n"/>
      <c r="AQ313" s="97" t="n"/>
      <c r="AR313" s="97" t="n"/>
      <c r="AS313" s="97" t="n"/>
      <c r="AT313" s="97" t="n"/>
      <c r="AU313" s="97" t="n"/>
      <c r="AV313" s="97" t="n"/>
      <c r="AW313" s="97" t="n"/>
      <c r="AX313" s="97" t="n"/>
      <c r="AY313" s="97" t="n"/>
      <c r="AZ313" s="97" t="n"/>
      <c r="BA313" s="97" t="n"/>
      <c r="BB313" s="97" t="n"/>
    </row>
    <row r="314" ht="22" customHeight="1" s="110">
      <c r="A314" s="96" t="n"/>
      <c r="B314" s="96" t="n"/>
      <c r="C314" s="96" t="n"/>
      <c r="D314" s="96" t="n"/>
      <c r="E314" s="96" t="n"/>
      <c r="F314" s="96" t="n"/>
      <c r="G314" s="96" t="n"/>
      <c r="H314" s="96" t="n"/>
      <c r="I314" s="96" t="n"/>
      <c r="J314" s="96" t="n"/>
      <c r="L314" s="96" t="n"/>
      <c r="M314" s="96" t="n"/>
      <c r="N314" s="96" t="n"/>
      <c r="O314" s="96" t="n"/>
      <c r="Q314" s="96" t="n"/>
      <c r="R314" s="96" t="n"/>
      <c r="S314" s="96" t="n"/>
      <c r="T314" s="96" t="n"/>
      <c r="U314" s="96" t="n"/>
      <c r="V314" s="96" t="n"/>
      <c r="W314" s="96" t="n"/>
      <c r="X314" s="96" t="n"/>
      <c r="Y314" s="96" t="n"/>
      <c r="Z314" s="96" t="n"/>
      <c r="AA314" s="96" t="n"/>
      <c r="AB314" s="96" t="n"/>
      <c r="AC314" s="96" t="n"/>
      <c r="AD314" s="96" t="n"/>
      <c r="AE314" s="96" t="n"/>
      <c r="AF314" s="96" t="n"/>
      <c r="AG314" s="96" t="n"/>
      <c r="AH314" s="96" t="n"/>
      <c r="AI314" s="96" t="n"/>
      <c r="AJ314" s="96" t="n"/>
      <c r="AK314" s="96" t="n"/>
      <c r="AL314" s="96" t="n"/>
      <c r="AM314" s="96" t="n"/>
      <c r="AN314" s="96" t="n"/>
      <c r="AO314" s="96" t="n"/>
      <c r="AP314" s="96" t="n"/>
      <c r="AQ314" s="96" t="n"/>
      <c r="AR314" s="96" t="n"/>
      <c r="AS314" s="96" t="n"/>
      <c r="AT314" s="96" t="n"/>
      <c r="AU314" s="96" t="n"/>
      <c r="AV314" s="96" t="n"/>
      <c r="AW314" s="96" t="n"/>
      <c r="AX314" s="96" t="n"/>
      <c r="AY314" s="96" t="n"/>
      <c r="AZ314" s="96" t="n"/>
      <c r="BA314" s="96" t="n"/>
      <c r="BB314" s="96" t="n"/>
    </row>
    <row r="315" ht="22" customHeight="1" s="110">
      <c r="A315" s="97" t="n"/>
      <c r="B315" s="97" t="n"/>
      <c r="C315" s="97" t="n"/>
      <c r="D315" s="97" t="n"/>
      <c r="E315" s="97" t="n"/>
      <c r="F315" s="97" t="n"/>
      <c r="G315" s="97" t="n"/>
      <c r="H315" s="97" t="n"/>
      <c r="I315" s="97" t="n"/>
      <c r="J315" s="97" t="n"/>
      <c r="L315" s="97" t="n"/>
      <c r="M315" s="97" t="n"/>
      <c r="N315" s="97" t="n"/>
      <c r="O315" s="97" t="n"/>
      <c r="Q315" s="97" t="n"/>
      <c r="R315" s="97" t="n"/>
      <c r="S315" s="97" t="n"/>
      <c r="T315" s="97" t="n"/>
      <c r="U315" s="97" t="n"/>
      <c r="V315" s="97" t="n"/>
      <c r="W315" s="97" t="n"/>
      <c r="X315" s="97" t="n"/>
      <c r="Y315" s="97" t="n"/>
      <c r="Z315" s="97" t="n"/>
      <c r="AA315" s="97" t="n"/>
      <c r="AB315" s="97" t="n"/>
      <c r="AC315" s="97" t="n"/>
      <c r="AD315" s="97" t="n"/>
      <c r="AE315" s="97" t="n"/>
      <c r="AF315" s="97" t="n"/>
      <c r="AG315" s="97" t="n"/>
      <c r="AH315" s="97" t="n"/>
      <c r="AI315" s="97" t="n"/>
      <c r="AJ315" s="97" t="n"/>
      <c r="AK315" s="97" t="n"/>
      <c r="AL315" s="97" t="n"/>
      <c r="AM315" s="97" t="n"/>
      <c r="AN315" s="97" t="n"/>
      <c r="AO315" s="97" t="n"/>
      <c r="AP315" s="97" t="n"/>
      <c r="AQ315" s="97" t="n"/>
      <c r="AR315" s="97" t="n"/>
      <c r="AS315" s="97" t="n"/>
      <c r="AT315" s="97" t="n"/>
      <c r="AU315" s="97" t="n"/>
      <c r="AV315" s="97" t="n"/>
      <c r="AW315" s="97" t="n"/>
      <c r="AX315" s="97" t="n"/>
      <c r="AY315" s="97" t="n"/>
      <c r="AZ315" s="97" t="n"/>
      <c r="BA315" s="97" t="n"/>
      <c r="BB315" s="97" t="n"/>
    </row>
    <row r="316" ht="22" customHeight="1" s="110">
      <c r="A316" s="96" t="n"/>
      <c r="B316" s="96" t="n"/>
      <c r="C316" s="96" t="n"/>
      <c r="D316" s="96" t="n"/>
      <c r="E316" s="96" t="n"/>
      <c r="F316" s="96" t="n"/>
      <c r="G316" s="96" t="n"/>
      <c r="H316" s="96" t="n"/>
      <c r="I316" s="96" t="n"/>
      <c r="J316" s="96" t="n"/>
      <c r="L316" s="96" t="n"/>
      <c r="M316" s="96" t="n"/>
      <c r="N316" s="96" t="n"/>
      <c r="O316" s="96" t="n"/>
      <c r="Q316" s="96" t="n"/>
      <c r="R316" s="96" t="n"/>
      <c r="S316" s="96" t="n"/>
      <c r="T316" s="96" t="n"/>
      <c r="U316" s="96" t="n"/>
      <c r="V316" s="96" t="n"/>
      <c r="W316" s="96" t="n"/>
      <c r="X316" s="96" t="n"/>
      <c r="Y316" s="96" t="n"/>
      <c r="Z316" s="96" t="n"/>
      <c r="AA316" s="96" t="n"/>
      <c r="AB316" s="96" t="n"/>
      <c r="AC316" s="96" t="n"/>
      <c r="AD316" s="96" t="n"/>
      <c r="AE316" s="96" t="n"/>
      <c r="AF316" s="96" t="n"/>
      <c r="AG316" s="96" t="n"/>
      <c r="AH316" s="96" t="n"/>
      <c r="AI316" s="96" t="n"/>
      <c r="AJ316" s="96" t="n"/>
      <c r="AK316" s="96" t="n"/>
      <c r="AL316" s="96" t="n"/>
      <c r="AM316" s="96" t="n"/>
      <c r="AN316" s="96" t="n"/>
      <c r="AO316" s="96" t="n"/>
      <c r="AP316" s="96" t="n"/>
      <c r="AQ316" s="96" t="n"/>
      <c r="AR316" s="96" t="n"/>
      <c r="AS316" s="96" t="n"/>
      <c r="AT316" s="96" t="n"/>
      <c r="AU316" s="96" t="n"/>
      <c r="AV316" s="96" t="n"/>
      <c r="AW316" s="96" t="n"/>
      <c r="AX316" s="96" t="n"/>
      <c r="AY316" s="96" t="n"/>
      <c r="AZ316" s="96" t="n"/>
      <c r="BA316" s="96" t="n"/>
      <c r="BB316" s="96" t="n"/>
    </row>
    <row r="317" ht="22" customHeight="1" s="110">
      <c r="A317" s="97" t="n"/>
      <c r="B317" s="97" t="n"/>
      <c r="C317" s="97" t="n"/>
      <c r="D317" s="97" t="n"/>
      <c r="E317" s="97" t="n"/>
      <c r="F317" s="97" t="n"/>
      <c r="G317" s="97" t="n"/>
      <c r="H317" s="97" t="n"/>
      <c r="I317" s="97" t="n"/>
      <c r="J317" s="97" t="n"/>
      <c r="L317" s="97" t="n"/>
      <c r="M317" s="97" t="n"/>
      <c r="N317" s="97" t="n"/>
      <c r="O317" s="97" t="n"/>
      <c r="Q317" s="97" t="n"/>
      <c r="R317" s="97" t="n"/>
      <c r="S317" s="97" t="n"/>
      <c r="T317" s="97" t="n"/>
      <c r="U317" s="97" t="n"/>
      <c r="V317" s="97" t="n"/>
      <c r="W317" s="97" t="n"/>
      <c r="X317" s="97" t="n"/>
      <c r="Y317" s="97" t="n"/>
      <c r="Z317" s="97" t="n"/>
      <c r="AA317" s="97" t="n"/>
      <c r="AB317" s="97" t="n"/>
      <c r="AC317" s="97" t="n"/>
      <c r="AD317" s="97" t="n"/>
      <c r="AE317" s="97" t="n"/>
      <c r="AF317" s="97" t="n"/>
      <c r="AG317" s="97" t="n"/>
      <c r="AH317" s="97" t="n"/>
      <c r="AI317" s="97" t="n"/>
      <c r="AJ317" s="97" t="n"/>
      <c r="AK317" s="97" t="n"/>
      <c r="AL317" s="97" t="n"/>
      <c r="AM317" s="97" t="n"/>
      <c r="AN317" s="97" t="n"/>
      <c r="AO317" s="97" t="n"/>
      <c r="AP317" s="97" t="n"/>
      <c r="AQ317" s="97" t="n"/>
      <c r="AR317" s="97" t="n"/>
      <c r="AS317" s="97" t="n"/>
      <c r="AT317" s="97" t="n"/>
      <c r="AU317" s="97" t="n"/>
      <c r="AV317" s="97" t="n"/>
      <c r="AW317" s="97" t="n"/>
      <c r="AX317" s="97" t="n"/>
      <c r="AY317" s="97" t="n"/>
      <c r="AZ317" s="97" t="n"/>
      <c r="BA317" s="97" t="n"/>
      <c r="BB317" s="97" t="n"/>
    </row>
    <row r="318" ht="22" customHeight="1" s="110">
      <c r="A318" s="96" t="n"/>
      <c r="B318" s="96" t="n"/>
      <c r="C318" s="96" t="n"/>
      <c r="D318" s="96" t="n"/>
      <c r="E318" s="96" t="n"/>
      <c r="F318" s="96" t="n"/>
      <c r="G318" s="96" t="n"/>
      <c r="H318" s="96" t="n"/>
      <c r="I318" s="96" t="n"/>
      <c r="J318" s="96" t="n"/>
      <c r="L318" s="96" t="n"/>
      <c r="M318" s="96" t="n"/>
      <c r="N318" s="96" t="n"/>
      <c r="O318" s="96" t="n"/>
      <c r="Q318" s="96" t="n"/>
      <c r="R318" s="96" t="n"/>
      <c r="S318" s="96" t="n"/>
      <c r="T318" s="96" t="n"/>
      <c r="U318" s="96" t="n"/>
      <c r="V318" s="96" t="n"/>
      <c r="W318" s="96" t="n"/>
      <c r="X318" s="96" t="n"/>
      <c r="Y318" s="96" t="n"/>
      <c r="Z318" s="96" t="n"/>
      <c r="AA318" s="96" t="n"/>
      <c r="AB318" s="96" t="n"/>
      <c r="AC318" s="96" t="n"/>
      <c r="AD318" s="96" t="n"/>
      <c r="AE318" s="96" t="n"/>
      <c r="AF318" s="96" t="n"/>
      <c r="AG318" s="96" t="n"/>
      <c r="AH318" s="96" t="n"/>
      <c r="AI318" s="96" t="n"/>
      <c r="AJ318" s="96" t="n"/>
      <c r="AK318" s="96" t="n"/>
      <c r="AL318" s="96" t="n"/>
      <c r="AM318" s="96" t="n"/>
      <c r="AN318" s="96" t="n"/>
      <c r="AO318" s="96" t="n"/>
      <c r="AP318" s="96" t="n"/>
      <c r="AQ318" s="96" t="n"/>
      <c r="AR318" s="96" t="n"/>
      <c r="AS318" s="96" t="n"/>
      <c r="AT318" s="96" t="n"/>
      <c r="AU318" s="96" t="n"/>
      <c r="AV318" s="96" t="n"/>
      <c r="AW318" s="96" t="n"/>
      <c r="AX318" s="96" t="n"/>
      <c r="AY318" s="96" t="n"/>
      <c r="AZ318" s="96" t="n"/>
      <c r="BA318" s="96" t="n"/>
      <c r="BB318" s="96" t="n"/>
    </row>
    <row r="319" ht="22" customHeight="1" s="110">
      <c r="A319" s="97" t="n"/>
      <c r="B319" s="97" t="n"/>
      <c r="C319" s="97" t="n"/>
      <c r="D319" s="97" t="n"/>
      <c r="E319" s="97" t="n"/>
      <c r="F319" s="97" t="n"/>
      <c r="G319" s="97" t="n"/>
      <c r="H319" s="97" t="n"/>
      <c r="I319" s="97" t="n"/>
      <c r="J319" s="97" t="n"/>
      <c r="L319" s="97" t="n"/>
      <c r="M319" s="97" t="n"/>
      <c r="N319" s="97" t="n"/>
      <c r="O319" s="97" t="n"/>
      <c r="Q319" s="97" t="n"/>
      <c r="R319" s="97" t="n"/>
      <c r="S319" s="97" t="n"/>
      <c r="T319" s="97" t="n"/>
      <c r="U319" s="97" t="n"/>
      <c r="V319" s="97" t="n"/>
      <c r="W319" s="97" t="n"/>
      <c r="X319" s="97" t="n"/>
      <c r="Y319" s="97" t="n"/>
      <c r="Z319" s="97" t="n"/>
      <c r="AA319" s="97" t="n"/>
      <c r="AB319" s="97" t="n"/>
      <c r="AC319" s="97" t="n"/>
      <c r="AD319" s="97" t="n"/>
      <c r="AE319" s="97" t="n"/>
      <c r="AF319" s="97" t="n"/>
      <c r="AG319" s="97" t="n"/>
      <c r="AH319" s="97" t="n"/>
      <c r="AI319" s="97" t="n"/>
      <c r="AJ319" s="97" t="n"/>
      <c r="AK319" s="97" t="n"/>
      <c r="AL319" s="97" t="n"/>
      <c r="AM319" s="97" t="n"/>
      <c r="AN319" s="97" t="n"/>
      <c r="AO319" s="97" t="n"/>
      <c r="AP319" s="97" t="n"/>
      <c r="AQ319" s="97" t="n"/>
      <c r="AR319" s="97" t="n"/>
      <c r="AS319" s="97" t="n"/>
      <c r="AT319" s="97" t="n"/>
      <c r="AU319" s="97" t="n"/>
      <c r="AV319" s="97" t="n"/>
      <c r="AW319" s="97" t="n"/>
      <c r="AX319" s="97" t="n"/>
      <c r="AY319" s="97" t="n"/>
      <c r="AZ319" s="97" t="n"/>
      <c r="BA319" s="97" t="n"/>
      <c r="BB319" s="97" t="n"/>
    </row>
    <row r="320" ht="22" customHeight="1" s="110">
      <c r="A320" s="96" t="n"/>
      <c r="B320" s="96" t="n"/>
      <c r="C320" s="96" t="n"/>
      <c r="D320" s="96" t="n"/>
      <c r="E320" s="96" t="n"/>
      <c r="F320" s="96" t="n"/>
      <c r="G320" s="96" t="n"/>
      <c r="H320" s="96" t="n"/>
      <c r="I320" s="96" t="n"/>
      <c r="J320" s="96" t="n"/>
      <c r="L320" s="96" t="n"/>
      <c r="M320" s="96" t="n"/>
      <c r="N320" s="96" t="n"/>
      <c r="O320" s="96" t="n"/>
      <c r="Q320" s="96" t="n"/>
      <c r="R320" s="96" t="n"/>
      <c r="S320" s="96" t="n"/>
      <c r="T320" s="96" t="n"/>
      <c r="U320" s="96" t="n"/>
      <c r="V320" s="96" t="n"/>
      <c r="W320" s="96" t="n"/>
      <c r="X320" s="96" t="n"/>
      <c r="Y320" s="96" t="n"/>
      <c r="Z320" s="96" t="n"/>
      <c r="AA320" s="96" t="n"/>
      <c r="AB320" s="96" t="n"/>
      <c r="AC320" s="96" t="n"/>
      <c r="AD320" s="96" t="n"/>
      <c r="AE320" s="96" t="n"/>
      <c r="AF320" s="96" t="n"/>
      <c r="AG320" s="96" t="n"/>
      <c r="AH320" s="96" t="n"/>
      <c r="AI320" s="96" t="n"/>
      <c r="AJ320" s="96" t="n"/>
      <c r="AK320" s="96" t="n"/>
      <c r="AL320" s="96" t="n"/>
      <c r="AM320" s="96" t="n"/>
      <c r="AN320" s="96" t="n"/>
      <c r="AO320" s="96" t="n"/>
      <c r="AP320" s="96" t="n"/>
      <c r="AQ320" s="96" t="n"/>
      <c r="AR320" s="96" t="n"/>
      <c r="AS320" s="96" t="n"/>
      <c r="AT320" s="96" t="n"/>
      <c r="AU320" s="96" t="n"/>
      <c r="AV320" s="96" t="n"/>
      <c r="AW320" s="96" t="n"/>
      <c r="AX320" s="96" t="n"/>
      <c r="AY320" s="96" t="n"/>
      <c r="AZ320" s="96" t="n"/>
      <c r="BA320" s="96" t="n"/>
      <c r="BB320" s="96" t="n"/>
    </row>
    <row r="321" ht="22" customHeight="1" s="110">
      <c r="A321" s="97" t="n"/>
      <c r="B321" s="97" t="n"/>
      <c r="C321" s="97" t="n"/>
      <c r="D321" s="97" t="n"/>
      <c r="E321" s="97" t="n"/>
      <c r="F321" s="97" t="n"/>
      <c r="G321" s="97" t="n"/>
      <c r="H321" s="97" t="n"/>
      <c r="I321" s="97" t="n"/>
      <c r="J321" s="97" t="n"/>
      <c r="L321" s="97" t="n"/>
      <c r="M321" s="97" t="n"/>
      <c r="N321" s="97" t="n"/>
      <c r="O321" s="97" t="n"/>
      <c r="Q321" s="97" t="n"/>
      <c r="R321" s="97" t="n"/>
      <c r="S321" s="97" t="n"/>
      <c r="T321" s="97" t="n"/>
      <c r="U321" s="97" t="n"/>
      <c r="V321" s="97" t="n"/>
      <c r="W321" s="97" t="n"/>
      <c r="X321" s="97" t="n"/>
      <c r="Y321" s="97" t="n"/>
      <c r="Z321" s="97" t="n"/>
      <c r="AA321" s="97" t="n"/>
      <c r="AB321" s="97" t="n"/>
      <c r="AC321" s="97" t="n"/>
      <c r="AD321" s="97" t="n"/>
      <c r="AE321" s="97" t="n"/>
      <c r="AF321" s="97" t="n"/>
      <c r="AG321" s="97" t="n"/>
      <c r="AH321" s="97" t="n"/>
      <c r="AI321" s="97" t="n"/>
      <c r="AJ321" s="97" t="n"/>
      <c r="AK321" s="97" t="n"/>
      <c r="AL321" s="97" t="n"/>
      <c r="AM321" s="97" t="n"/>
      <c r="AN321" s="97" t="n"/>
      <c r="AO321" s="97" t="n"/>
      <c r="AP321" s="97" t="n"/>
      <c r="AQ321" s="97" t="n"/>
      <c r="AR321" s="97" t="n"/>
      <c r="AS321" s="97" t="n"/>
      <c r="AT321" s="97" t="n"/>
      <c r="AU321" s="97" t="n"/>
      <c r="AV321" s="97" t="n"/>
      <c r="AW321" s="97" t="n"/>
      <c r="AX321" s="97" t="n"/>
      <c r="AY321" s="97" t="n"/>
      <c r="AZ321" s="97" t="n"/>
      <c r="BA321" s="97" t="n"/>
      <c r="BB321" s="97" t="n"/>
    </row>
    <row r="322" ht="22" customHeight="1" s="110">
      <c r="A322" s="96" t="n"/>
      <c r="B322" s="96" t="n"/>
      <c r="C322" s="96" t="n"/>
      <c r="D322" s="96" t="n"/>
      <c r="E322" s="96" t="n"/>
      <c r="F322" s="96" t="n"/>
      <c r="G322" s="96" t="n"/>
      <c r="H322" s="96" t="n"/>
      <c r="I322" s="96" t="n"/>
      <c r="J322" s="96" t="n"/>
      <c r="L322" s="96" t="n"/>
      <c r="M322" s="96" t="n"/>
      <c r="N322" s="96" t="n"/>
      <c r="O322" s="96" t="n"/>
      <c r="Q322" s="96" t="n"/>
      <c r="R322" s="96" t="n"/>
      <c r="S322" s="96" t="n"/>
      <c r="T322" s="96" t="n"/>
      <c r="U322" s="96" t="n"/>
      <c r="V322" s="96" t="n"/>
      <c r="W322" s="96" t="n"/>
      <c r="X322" s="96" t="n"/>
      <c r="Y322" s="96" t="n"/>
      <c r="Z322" s="96" t="n"/>
      <c r="AA322" s="96" t="n"/>
      <c r="AB322" s="96" t="n"/>
      <c r="AC322" s="96" t="n"/>
      <c r="AD322" s="96" t="n"/>
      <c r="AE322" s="96" t="n"/>
      <c r="AF322" s="96" t="n"/>
      <c r="AG322" s="96" t="n"/>
      <c r="AH322" s="96" t="n"/>
      <c r="AI322" s="96" t="n"/>
      <c r="AJ322" s="96" t="n"/>
      <c r="AK322" s="96" t="n"/>
      <c r="AL322" s="96" t="n"/>
      <c r="AM322" s="96" t="n"/>
      <c r="AN322" s="96" t="n"/>
      <c r="AO322" s="96" t="n"/>
      <c r="AP322" s="96" t="n"/>
      <c r="AQ322" s="96" t="n"/>
      <c r="AR322" s="96" t="n"/>
      <c r="AS322" s="96" t="n"/>
      <c r="AT322" s="96" t="n"/>
      <c r="AU322" s="96" t="n"/>
      <c r="AV322" s="96" t="n"/>
      <c r="AW322" s="96" t="n"/>
      <c r="AX322" s="96" t="n"/>
      <c r="AY322" s="96" t="n"/>
      <c r="AZ322" s="96" t="n"/>
      <c r="BA322" s="96" t="n"/>
      <c r="BB322" s="96" t="n"/>
    </row>
    <row r="323" ht="22" customHeight="1" s="110">
      <c r="A323" s="97" t="n"/>
      <c r="B323" s="97" t="n"/>
      <c r="C323" s="97" t="n"/>
      <c r="D323" s="97" t="n"/>
      <c r="E323" s="97" t="n"/>
      <c r="F323" s="97" t="n"/>
      <c r="G323" s="97" t="n"/>
      <c r="H323" s="97" t="n"/>
      <c r="I323" s="97" t="n"/>
      <c r="J323" s="97" t="n"/>
      <c r="L323" s="97" t="n"/>
      <c r="M323" s="97" t="n"/>
      <c r="N323" s="97" t="n"/>
      <c r="O323" s="97" t="n"/>
      <c r="Q323" s="97" t="n"/>
      <c r="R323" s="97" t="n"/>
      <c r="S323" s="97" t="n"/>
      <c r="T323" s="97" t="n"/>
      <c r="U323" s="97" t="n"/>
      <c r="V323" s="97" t="n"/>
      <c r="W323" s="97" t="n"/>
      <c r="X323" s="97" t="n"/>
      <c r="Y323" s="97" t="n"/>
      <c r="Z323" s="97" t="n"/>
      <c r="AA323" s="97" t="n"/>
      <c r="AB323" s="97" t="n"/>
      <c r="AC323" s="97" t="n"/>
      <c r="AD323" s="97" t="n"/>
      <c r="AE323" s="97" t="n"/>
      <c r="AF323" s="97" t="n"/>
      <c r="AG323" s="97" t="n"/>
      <c r="AH323" s="97" t="n"/>
      <c r="AI323" s="97" t="n"/>
      <c r="AJ323" s="97" t="n"/>
      <c r="AK323" s="97" t="n"/>
      <c r="AL323" s="97" t="n"/>
      <c r="AM323" s="97" t="n"/>
      <c r="AN323" s="97" t="n"/>
      <c r="AO323" s="97" t="n"/>
      <c r="AP323" s="97" t="n"/>
      <c r="AQ323" s="97" t="n"/>
      <c r="AR323" s="97" t="n"/>
      <c r="AS323" s="97" t="n"/>
      <c r="AT323" s="97" t="n"/>
      <c r="AU323" s="97" t="n"/>
      <c r="AV323" s="97" t="n"/>
      <c r="AW323" s="97" t="n"/>
      <c r="AX323" s="97" t="n"/>
      <c r="AY323" s="97" t="n"/>
      <c r="AZ323" s="97" t="n"/>
      <c r="BA323" s="97" t="n"/>
      <c r="BB323" s="97" t="n"/>
    </row>
    <row r="324" ht="22" customHeight="1" s="110">
      <c r="A324" s="96" t="n"/>
      <c r="B324" s="96" t="n"/>
      <c r="C324" s="96" t="n"/>
      <c r="D324" s="96" t="n"/>
      <c r="E324" s="96" t="n"/>
      <c r="F324" s="96" t="n"/>
      <c r="G324" s="96" t="n"/>
      <c r="H324" s="96" t="n"/>
      <c r="I324" s="96" t="n"/>
      <c r="J324" s="96" t="n"/>
      <c r="L324" s="96" t="n"/>
      <c r="M324" s="96" t="n"/>
      <c r="N324" s="96" t="n"/>
      <c r="O324" s="96" t="n"/>
      <c r="Q324" s="96" t="n"/>
      <c r="R324" s="96" t="n"/>
      <c r="S324" s="96" t="n"/>
      <c r="T324" s="96" t="n"/>
      <c r="U324" s="96" t="n"/>
      <c r="V324" s="96" t="n"/>
      <c r="W324" s="96" t="n"/>
      <c r="X324" s="96" t="n"/>
      <c r="Y324" s="96" t="n"/>
      <c r="Z324" s="96" t="n"/>
      <c r="AA324" s="96" t="n"/>
      <c r="AB324" s="96" t="n"/>
      <c r="AC324" s="96" t="n"/>
      <c r="AD324" s="96" t="n"/>
      <c r="AE324" s="96" t="n"/>
      <c r="AF324" s="96" t="n"/>
      <c r="AG324" s="96" t="n"/>
      <c r="AH324" s="96" t="n"/>
      <c r="AI324" s="96" t="n"/>
      <c r="AJ324" s="96" t="n"/>
      <c r="AK324" s="96" t="n"/>
      <c r="AL324" s="96" t="n"/>
      <c r="AM324" s="96" t="n"/>
      <c r="AN324" s="96" t="n"/>
      <c r="AO324" s="96" t="n"/>
      <c r="AP324" s="96" t="n"/>
      <c r="AQ324" s="96" t="n"/>
      <c r="AR324" s="96" t="n"/>
      <c r="AS324" s="96" t="n"/>
      <c r="AT324" s="96" t="n"/>
      <c r="AU324" s="96" t="n"/>
      <c r="AV324" s="96" t="n"/>
      <c r="AW324" s="96" t="n"/>
      <c r="AX324" s="96" t="n"/>
      <c r="AY324" s="96" t="n"/>
      <c r="AZ324" s="96" t="n"/>
      <c r="BA324" s="96" t="n"/>
      <c r="BB324" s="96" t="n"/>
    </row>
    <row r="325" ht="22" customHeight="1" s="110">
      <c r="A325" s="97" t="n"/>
      <c r="B325" s="97" t="n"/>
      <c r="C325" s="97" t="n"/>
      <c r="D325" s="97" t="n"/>
      <c r="E325" s="97" t="n"/>
      <c r="F325" s="97" t="n"/>
      <c r="G325" s="97" t="n"/>
      <c r="H325" s="97" t="n"/>
      <c r="I325" s="97" t="n"/>
      <c r="J325" s="97" t="n"/>
      <c r="L325" s="97" t="n"/>
      <c r="M325" s="97" t="n"/>
      <c r="N325" s="97" t="n"/>
      <c r="O325" s="97" t="n"/>
      <c r="Q325" s="97" t="n"/>
      <c r="R325" s="97" t="n"/>
      <c r="S325" s="97" t="n"/>
      <c r="T325" s="97" t="n"/>
      <c r="U325" s="97" t="n"/>
      <c r="V325" s="97" t="n"/>
      <c r="W325" s="97" t="n"/>
      <c r="X325" s="97" t="n"/>
      <c r="Y325" s="97" t="n"/>
      <c r="Z325" s="97" t="n"/>
      <c r="AA325" s="97" t="n"/>
      <c r="AB325" s="97" t="n"/>
      <c r="AC325" s="97" t="n"/>
      <c r="AD325" s="97" t="n"/>
      <c r="AE325" s="97" t="n"/>
      <c r="AF325" s="97" t="n"/>
      <c r="AG325" s="97" t="n"/>
      <c r="AH325" s="97" t="n"/>
      <c r="AI325" s="97" t="n"/>
      <c r="AJ325" s="97" t="n"/>
      <c r="AK325" s="97" t="n"/>
      <c r="AL325" s="97" t="n"/>
      <c r="AM325" s="97" t="n"/>
      <c r="AN325" s="97" t="n"/>
      <c r="AO325" s="97" t="n"/>
      <c r="AP325" s="97" t="n"/>
      <c r="AQ325" s="97" t="n"/>
      <c r="AR325" s="97" t="n"/>
      <c r="AS325" s="97" t="n"/>
      <c r="AT325" s="97" t="n"/>
      <c r="AU325" s="97" t="n"/>
      <c r="AV325" s="97" t="n"/>
      <c r="AW325" s="97" t="n"/>
      <c r="AX325" s="97" t="n"/>
      <c r="AY325" s="97" t="n"/>
      <c r="AZ325" s="97" t="n"/>
      <c r="BA325" s="97" t="n"/>
      <c r="BB325" s="97" t="n"/>
    </row>
    <row r="326" ht="22" customHeight="1" s="110">
      <c r="A326" s="96" t="n"/>
      <c r="B326" s="96" t="n"/>
      <c r="C326" s="96" t="n"/>
      <c r="D326" s="96" t="n"/>
      <c r="E326" s="96" t="n"/>
      <c r="F326" s="96" t="n"/>
      <c r="G326" s="96" t="n"/>
      <c r="H326" s="96" t="n"/>
      <c r="I326" s="96" t="n"/>
      <c r="J326" s="96" t="n"/>
      <c r="L326" s="96" t="n"/>
      <c r="M326" s="96" t="n"/>
      <c r="N326" s="96" t="n"/>
      <c r="O326" s="96" t="n"/>
      <c r="Q326" s="96" t="n"/>
      <c r="R326" s="96" t="n"/>
      <c r="S326" s="96" t="n"/>
      <c r="T326" s="96" t="n"/>
      <c r="U326" s="96" t="n"/>
      <c r="V326" s="96" t="n"/>
      <c r="W326" s="96" t="n"/>
      <c r="X326" s="96" t="n"/>
      <c r="Y326" s="96" t="n"/>
      <c r="Z326" s="96" t="n"/>
      <c r="AA326" s="96" t="n"/>
      <c r="AB326" s="96" t="n"/>
      <c r="AC326" s="96" t="n"/>
      <c r="AD326" s="96" t="n"/>
      <c r="AE326" s="96" t="n"/>
      <c r="AF326" s="96" t="n"/>
      <c r="AG326" s="96" t="n"/>
      <c r="AH326" s="96" t="n"/>
      <c r="AI326" s="96" t="n"/>
      <c r="AJ326" s="96" t="n"/>
      <c r="AK326" s="96" t="n"/>
      <c r="AL326" s="96" t="n"/>
      <c r="AM326" s="96" t="n"/>
      <c r="AN326" s="96" t="n"/>
      <c r="AO326" s="96" t="n"/>
      <c r="AP326" s="96" t="n"/>
      <c r="AQ326" s="96" t="n"/>
      <c r="AR326" s="96" t="n"/>
      <c r="AS326" s="96" t="n"/>
      <c r="AT326" s="96" t="n"/>
      <c r="AU326" s="96" t="n"/>
      <c r="AV326" s="96" t="n"/>
      <c r="AW326" s="96" t="n"/>
      <c r="AX326" s="96" t="n"/>
      <c r="AY326" s="96" t="n"/>
      <c r="AZ326" s="96" t="n"/>
      <c r="BA326" s="96" t="n"/>
      <c r="BB326" s="96" t="n"/>
    </row>
    <row r="327" ht="22" customHeight="1" s="110">
      <c r="A327" s="97" t="n"/>
      <c r="B327" s="97" t="n"/>
      <c r="C327" s="97" t="n"/>
      <c r="D327" s="97" t="n"/>
      <c r="E327" s="97" t="n"/>
      <c r="F327" s="97" t="n"/>
      <c r="G327" s="97" t="n"/>
      <c r="H327" s="97" t="n"/>
      <c r="I327" s="97" t="n"/>
      <c r="J327" s="97" t="n"/>
      <c r="L327" s="97" t="n"/>
      <c r="M327" s="97" t="n"/>
      <c r="N327" s="97" t="n"/>
      <c r="O327" s="97" t="n"/>
      <c r="Q327" s="97" t="n"/>
      <c r="R327" s="97" t="n"/>
      <c r="S327" s="97" t="n"/>
      <c r="T327" s="97" t="n"/>
      <c r="U327" s="97" t="n"/>
      <c r="V327" s="97" t="n"/>
      <c r="W327" s="97" t="n"/>
      <c r="X327" s="97" t="n"/>
      <c r="Y327" s="97" t="n"/>
      <c r="Z327" s="97" t="n"/>
      <c r="AA327" s="97" t="n"/>
      <c r="AB327" s="97" t="n"/>
      <c r="AC327" s="97" t="n"/>
      <c r="AD327" s="97" t="n"/>
      <c r="AE327" s="97" t="n"/>
      <c r="AF327" s="97" t="n"/>
      <c r="AG327" s="97" t="n"/>
      <c r="AH327" s="97" t="n"/>
      <c r="AI327" s="97" t="n"/>
      <c r="AJ327" s="97" t="n"/>
      <c r="AK327" s="97" t="n"/>
      <c r="AL327" s="97" t="n"/>
      <c r="AM327" s="97" t="n"/>
      <c r="AN327" s="97" t="n"/>
      <c r="AO327" s="97" t="n"/>
      <c r="AP327" s="97" t="n"/>
      <c r="AQ327" s="97" t="n"/>
      <c r="AR327" s="97" t="n"/>
      <c r="AS327" s="97" t="n"/>
      <c r="AT327" s="97" t="n"/>
      <c r="AU327" s="97" t="n"/>
      <c r="AV327" s="97" t="n"/>
      <c r="AW327" s="97" t="n"/>
      <c r="AX327" s="97" t="n"/>
      <c r="AY327" s="97" t="n"/>
      <c r="AZ327" s="97" t="n"/>
      <c r="BA327" s="97" t="n"/>
      <c r="BB327" s="97" t="n"/>
    </row>
    <row r="328" ht="22" customHeight="1" s="110">
      <c r="A328" s="96" t="n"/>
      <c r="B328" s="96" t="n"/>
      <c r="C328" s="96" t="n"/>
      <c r="D328" s="96" t="n"/>
      <c r="E328" s="96" t="n"/>
      <c r="F328" s="96" t="n"/>
      <c r="G328" s="96" t="n"/>
      <c r="H328" s="96" t="n"/>
      <c r="I328" s="96" t="n"/>
      <c r="J328" s="96" t="n"/>
      <c r="L328" s="96" t="n"/>
      <c r="M328" s="96" t="n"/>
      <c r="N328" s="96" t="n"/>
      <c r="O328" s="96" t="n"/>
      <c r="Q328" s="96" t="n"/>
      <c r="R328" s="96" t="n"/>
      <c r="S328" s="96" t="n"/>
      <c r="T328" s="96" t="n"/>
      <c r="U328" s="96" t="n"/>
      <c r="V328" s="96" t="n"/>
      <c r="W328" s="96" t="n"/>
      <c r="X328" s="96" t="n"/>
      <c r="Y328" s="96" t="n"/>
      <c r="Z328" s="96" t="n"/>
      <c r="AA328" s="96" t="n"/>
      <c r="AB328" s="96" t="n"/>
      <c r="AC328" s="96" t="n"/>
      <c r="AD328" s="96" t="n"/>
      <c r="AE328" s="96" t="n"/>
      <c r="AF328" s="96" t="n"/>
      <c r="AG328" s="96" t="n"/>
      <c r="AH328" s="96" t="n"/>
      <c r="AI328" s="96" t="n"/>
      <c r="AJ328" s="96" t="n"/>
      <c r="AK328" s="96" t="n"/>
      <c r="AL328" s="96" t="n"/>
      <c r="AM328" s="96" t="n"/>
      <c r="AN328" s="96" t="n"/>
      <c r="AO328" s="96" t="n"/>
      <c r="AP328" s="96" t="n"/>
      <c r="AQ328" s="96" t="n"/>
      <c r="AR328" s="96" t="n"/>
      <c r="AS328" s="96" t="n"/>
      <c r="AT328" s="96" t="n"/>
      <c r="AU328" s="96" t="n"/>
      <c r="AV328" s="96" t="n"/>
      <c r="AW328" s="96" t="n"/>
      <c r="AX328" s="96" t="n"/>
      <c r="AY328" s="96" t="n"/>
      <c r="AZ328" s="96" t="n"/>
      <c r="BA328" s="96" t="n"/>
      <c r="BB328" s="96" t="n"/>
    </row>
    <row r="329" ht="22" customHeight="1" s="110">
      <c r="A329" s="97" t="n"/>
      <c r="B329" s="97" t="n"/>
      <c r="C329" s="97" t="n"/>
      <c r="D329" s="97" t="n"/>
      <c r="E329" s="97" t="n"/>
      <c r="F329" s="97" t="n"/>
      <c r="G329" s="97" t="n"/>
      <c r="H329" s="97" t="n"/>
      <c r="I329" s="97" t="n"/>
      <c r="J329" s="97" t="n"/>
      <c r="L329" s="97" t="n"/>
      <c r="M329" s="97" t="n"/>
      <c r="N329" s="97" t="n"/>
      <c r="O329" s="97" t="n"/>
      <c r="Q329" s="97" t="n"/>
      <c r="R329" s="97" t="n"/>
      <c r="S329" s="97" t="n"/>
      <c r="T329" s="97" t="n"/>
      <c r="U329" s="97" t="n"/>
      <c r="V329" s="97" t="n"/>
      <c r="W329" s="97" t="n"/>
      <c r="X329" s="97" t="n"/>
      <c r="Y329" s="97" t="n"/>
      <c r="Z329" s="97" t="n"/>
      <c r="AA329" s="97" t="n"/>
      <c r="AB329" s="97" t="n"/>
      <c r="AC329" s="97" t="n"/>
      <c r="AD329" s="97" t="n"/>
      <c r="AE329" s="97" t="n"/>
      <c r="AF329" s="97" t="n"/>
      <c r="AG329" s="97" t="n"/>
      <c r="AH329" s="97" t="n"/>
      <c r="AI329" s="97" t="n"/>
      <c r="AJ329" s="97" t="n"/>
      <c r="AK329" s="97" t="n"/>
      <c r="AL329" s="97" t="n"/>
      <c r="AM329" s="97" t="n"/>
      <c r="AN329" s="97" t="n"/>
      <c r="AO329" s="97" t="n"/>
      <c r="AP329" s="97" t="n"/>
      <c r="AQ329" s="97" t="n"/>
      <c r="AR329" s="97" t="n"/>
      <c r="AS329" s="97" t="n"/>
      <c r="AT329" s="97" t="n"/>
      <c r="AU329" s="97" t="n"/>
      <c r="AV329" s="97" t="n"/>
      <c r="AW329" s="97" t="n"/>
      <c r="AX329" s="97" t="n"/>
      <c r="AY329" s="97" t="n"/>
      <c r="AZ329" s="97" t="n"/>
      <c r="BA329" s="97" t="n"/>
      <c r="BB329" s="97" t="n"/>
    </row>
    <row r="330" ht="22" customHeight="1" s="110">
      <c r="A330" s="96" t="n"/>
      <c r="B330" s="96" t="n"/>
      <c r="C330" s="96" t="n"/>
      <c r="D330" s="96" t="n"/>
      <c r="E330" s="96" t="n"/>
      <c r="F330" s="96" t="n"/>
      <c r="G330" s="96" t="n"/>
      <c r="H330" s="96" t="n"/>
      <c r="I330" s="96" t="n"/>
      <c r="J330" s="96" t="n"/>
      <c r="L330" s="96" t="n"/>
      <c r="M330" s="96" t="n"/>
      <c r="N330" s="96" t="n"/>
      <c r="O330" s="96" t="n"/>
      <c r="Q330" s="96" t="n"/>
      <c r="R330" s="96" t="n"/>
      <c r="S330" s="96" t="n"/>
      <c r="T330" s="96" t="n"/>
      <c r="U330" s="96" t="n"/>
      <c r="V330" s="96" t="n"/>
      <c r="W330" s="96" t="n"/>
      <c r="X330" s="96" t="n"/>
      <c r="Y330" s="96" t="n"/>
      <c r="Z330" s="96" t="n"/>
      <c r="AA330" s="96" t="n"/>
      <c r="AB330" s="96" t="n"/>
      <c r="AC330" s="96" t="n"/>
      <c r="AD330" s="96" t="n"/>
      <c r="AE330" s="96" t="n"/>
      <c r="AF330" s="96" t="n"/>
      <c r="AG330" s="96" t="n"/>
      <c r="AH330" s="96" t="n"/>
      <c r="AI330" s="96" t="n"/>
      <c r="AJ330" s="96" t="n"/>
      <c r="AK330" s="96" t="n"/>
      <c r="AL330" s="96" t="n"/>
      <c r="AM330" s="96" t="n"/>
      <c r="AN330" s="96" t="n"/>
      <c r="AO330" s="96" t="n"/>
      <c r="AP330" s="96" t="n"/>
      <c r="AQ330" s="96" t="n"/>
      <c r="AR330" s="96" t="n"/>
      <c r="AS330" s="96" t="n"/>
      <c r="AT330" s="96" t="n"/>
      <c r="AU330" s="96" t="n"/>
      <c r="AV330" s="96" t="n"/>
      <c r="AW330" s="96" t="n"/>
      <c r="AX330" s="96" t="n"/>
      <c r="AY330" s="96" t="n"/>
      <c r="AZ330" s="96" t="n"/>
      <c r="BA330" s="96" t="n"/>
      <c r="BB330" s="96" t="n"/>
    </row>
    <row r="331" ht="22" customHeight="1" s="110">
      <c r="A331" s="97" t="n"/>
      <c r="B331" s="97" t="n"/>
      <c r="C331" s="97" t="n"/>
      <c r="D331" s="97" t="n"/>
      <c r="E331" s="97" t="n"/>
      <c r="F331" s="97" t="n"/>
      <c r="G331" s="97" t="n"/>
      <c r="H331" s="97" t="n"/>
      <c r="I331" s="97" t="n"/>
      <c r="J331" s="97" t="n"/>
      <c r="L331" s="97" t="n"/>
      <c r="M331" s="97" t="n"/>
      <c r="N331" s="97" t="n"/>
      <c r="O331" s="97" t="n"/>
      <c r="Q331" s="97" t="n"/>
      <c r="R331" s="97" t="n"/>
      <c r="S331" s="97" t="n"/>
      <c r="T331" s="97" t="n"/>
      <c r="U331" s="97" t="n"/>
      <c r="V331" s="97" t="n"/>
      <c r="W331" s="97" t="n"/>
      <c r="X331" s="97" t="n"/>
      <c r="Y331" s="97" t="n"/>
      <c r="Z331" s="97" t="n"/>
      <c r="AA331" s="97" t="n"/>
      <c r="AB331" s="97" t="n"/>
      <c r="AC331" s="97" t="n"/>
      <c r="AD331" s="97" t="n"/>
      <c r="AE331" s="97" t="n"/>
      <c r="AF331" s="97" t="n"/>
      <c r="AG331" s="97" t="n"/>
      <c r="AH331" s="97" t="n"/>
      <c r="AI331" s="97" t="n"/>
      <c r="AJ331" s="97" t="n"/>
      <c r="AK331" s="97" t="n"/>
      <c r="AL331" s="97" t="n"/>
      <c r="AM331" s="97" t="n"/>
      <c r="AN331" s="97" t="n"/>
      <c r="AO331" s="97" t="n"/>
      <c r="AP331" s="97" t="n"/>
      <c r="AQ331" s="97" t="n"/>
      <c r="AR331" s="97" t="n"/>
      <c r="AS331" s="97" t="n"/>
      <c r="AT331" s="97" t="n"/>
      <c r="AU331" s="97" t="n"/>
      <c r="AV331" s="97" t="n"/>
      <c r="AW331" s="97" t="n"/>
      <c r="AX331" s="97" t="n"/>
      <c r="AY331" s="97" t="n"/>
      <c r="AZ331" s="97" t="n"/>
      <c r="BA331" s="97" t="n"/>
      <c r="BB331" s="97" t="n"/>
    </row>
    <row r="332" ht="22" customHeight="1" s="110">
      <c r="A332" s="96" t="n"/>
      <c r="B332" s="96" t="n"/>
      <c r="C332" s="96" t="n"/>
      <c r="D332" s="96" t="n"/>
      <c r="E332" s="96" t="n"/>
      <c r="F332" s="96" t="n"/>
      <c r="G332" s="96" t="n"/>
      <c r="H332" s="96" t="n"/>
      <c r="I332" s="96" t="n"/>
      <c r="J332" s="96" t="n"/>
      <c r="L332" s="96" t="n"/>
      <c r="M332" s="96" t="n"/>
      <c r="N332" s="96" t="n"/>
      <c r="O332" s="96" t="n"/>
      <c r="Q332" s="96" t="n"/>
      <c r="R332" s="96" t="n"/>
      <c r="S332" s="96" t="n"/>
      <c r="T332" s="96" t="n"/>
      <c r="U332" s="96" t="n"/>
      <c r="V332" s="96" t="n"/>
      <c r="W332" s="96" t="n"/>
      <c r="X332" s="96" t="n"/>
      <c r="Y332" s="96" t="n"/>
      <c r="Z332" s="96" t="n"/>
      <c r="AA332" s="96" t="n"/>
      <c r="AB332" s="96" t="n"/>
      <c r="AC332" s="96" t="n"/>
      <c r="AD332" s="96" t="n"/>
      <c r="AE332" s="96" t="n"/>
      <c r="AF332" s="96" t="n"/>
      <c r="AG332" s="96" t="n"/>
      <c r="AH332" s="96" t="n"/>
      <c r="AI332" s="96" t="n"/>
      <c r="AJ332" s="96" t="n"/>
      <c r="AK332" s="96" t="n"/>
      <c r="AL332" s="96" t="n"/>
      <c r="AM332" s="96" t="n"/>
      <c r="AN332" s="96" t="n"/>
      <c r="AO332" s="96" t="n"/>
      <c r="AP332" s="96" t="n"/>
      <c r="AQ332" s="96" t="n"/>
      <c r="AR332" s="96" t="n"/>
      <c r="AS332" s="96" t="n"/>
      <c r="AT332" s="96" t="n"/>
      <c r="AU332" s="96" t="n"/>
      <c r="AV332" s="96" t="n"/>
      <c r="AW332" s="96" t="n"/>
      <c r="AX332" s="96" t="n"/>
      <c r="AY332" s="96" t="n"/>
      <c r="AZ332" s="96" t="n"/>
      <c r="BA332" s="96" t="n"/>
      <c r="BB332" s="96" t="n"/>
    </row>
    <row r="333" ht="22" customHeight="1" s="110">
      <c r="A333" s="97" t="n"/>
      <c r="B333" s="97" t="n"/>
      <c r="C333" s="97" t="n"/>
      <c r="D333" s="97" t="n"/>
      <c r="E333" s="97" t="n"/>
      <c r="F333" s="97" t="n"/>
      <c r="G333" s="97" t="n"/>
      <c r="H333" s="97" t="n"/>
      <c r="I333" s="97" t="n"/>
      <c r="J333" s="97" t="n"/>
      <c r="L333" s="97" t="n"/>
      <c r="M333" s="97" t="n"/>
      <c r="N333" s="97" t="n"/>
      <c r="O333" s="97" t="n"/>
      <c r="Q333" s="97" t="n"/>
      <c r="R333" s="97" t="n"/>
      <c r="S333" s="97" t="n"/>
      <c r="T333" s="97" t="n"/>
      <c r="U333" s="97" t="n"/>
      <c r="V333" s="97" t="n"/>
      <c r="W333" s="97" t="n"/>
      <c r="X333" s="97" t="n"/>
      <c r="Y333" s="97" t="n"/>
      <c r="Z333" s="97" t="n"/>
      <c r="AA333" s="97" t="n"/>
      <c r="AB333" s="97" t="n"/>
      <c r="AC333" s="97" t="n"/>
      <c r="AD333" s="97" t="n"/>
      <c r="AE333" s="97" t="n"/>
      <c r="AF333" s="97" t="n"/>
      <c r="AG333" s="97" t="n"/>
      <c r="AH333" s="97" t="n"/>
      <c r="AI333" s="97" t="n"/>
      <c r="AJ333" s="97" t="n"/>
      <c r="AK333" s="97" t="n"/>
      <c r="AL333" s="97" t="n"/>
      <c r="AM333" s="97" t="n"/>
      <c r="AN333" s="97" t="n"/>
      <c r="AO333" s="97" t="n"/>
      <c r="AP333" s="97" t="n"/>
      <c r="AQ333" s="97" t="n"/>
      <c r="AR333" s="97" t="n"/>
      <c r="AS333" s="97" t="n"/>
      <c r="AT333" s="97" t="n"/>
      <c r="AU333" s="97" t="n"/>
      <c r="AV333" s="97" t="n"/>
      <c r="AW333" s="97" t="n"/>
      <c r="AX333" s="97" t="n"/>
      <c r="AY333" s="97" t="n"/>
      <c r="AZ333" s="97" t="n"/>
      <c r="BA333" s="97" t="n"/>
      <c r="BB333" s="97" t="n"/>
    </row>
    <row r="334" ht="22" customHeight="1" s="110">
      <c r="A334" s="96" t="n"/>
      <c r="B334" s="96" t="n"/>
      <c r="C334" s="96" t="n"/>
      <c r="D334" s="96" t="n"/>
      <c r="E334" s="96" t="n"/>
      <c r="F334" s="96" t="n"/>
      <c r="G334" s="96" t="n"/>
      <c r="H334" s="96" t="n"/>
      <c r="I334" s="96" t="n"/>
      <c r="J334" s="96" t="n"/>
      <c r="L334" s="96" t="n"/>
      <c r="M334" s="96" t="n"/>
      <c r="N334" s="96" t="n"/>
      <c r="O334" s="96" t="n"/>
      <c r="Q334" s="96" t="n"/>
      <c r="R334" s="96" t="n"/>
      <c r="S334" s="96" t="n"/>
      <c r="T334" s="96" t="n"/>
      <c r="U334" s="96" t="n"/>
      <c r="V334" s="96" t="n"/>
      <c r="W334" s="96" t="n"/>
      <c r="X334" s="96" t="n"/>
      <c r="Y334" s="96" t="n"/>
      <c r="Z334" s="96" t="n"/>
      <c r="AA334" s="96" t="n"/>
      <c r="AB334" s="96" t="n"/>
      <c r="AC334" s="96" t="n"/>
      <c r="AD334" s="96" t="n"/>
      <c r="AE334" s="96" t="n"/>
      <c r="AF334" s="96" t="n"/>
      <c r="AG334" s="96" t="n"/>
      <c r="AH334" s="96" t="n"/>
      <c r="AI334" s="96" t="n"/>
      <c r="AJ334" s="96" t="n"/>
      <c r="AK334" s="96" t="n"/>
      <c r="AL334" s="96" t="n"/>
      <c r="AM334" s="96" t="n"/>
      <c r="AN334" s="96" t="n"/>
      <c r="AO334" s="96" t="n"/>
      <c r="AP334" s="96" t="n"/>
      <c r="AQ334" s="96" t="n"/>
      <c r="AR334" s="96" t="n"/>
      <c r="AS334" s="96" t="n"/>
      <c r="AT334" s="96" t="n"/>
      <c r="AU334" s="96" t="n"/>
      <c r="AV334" s="96" t="n"/>
      <c r="AW334" s="96" t="n"/>
      <c r="AX334" s="96" t="n"/>
      <c r="AY334" s="96" t="n"/>
      <c r="AZ334" s="96" t="n"/>
      <c r="BA334" s="96" t="n"/>
      <c r="BB334" s="96" t="n"/>
    </row>
    <row r="335" ht="22" customHeight="1" s="110">
      <c r="A335" s="97" t="n"/>
      <c r="B335" s="97" t="n"/>
      <c r="C335" s="97" t="n"/>
      <c r="D335" s="97" t="n"/>
      <c r="E335" s="97" t="n"/>
      <c r="F335" s="97" t="n"/>
      <c r="G335" s="97" t="n"/>
      <c r="H335" s="97" t="n"/>
      <c r="I335" s="97" t="n"/>
      <c r="J335" s="97" t="n"/>
      <c r="L335" s="97" t="n"/>
      <c r="M335" s="97" t="n"/>
      <c r="N335" s="97" t="n"/>
      <c r="O335" s="97" t="n"/>
      <c r="Q335" s="97" t="n"/>
      <c r="R335" s="97" t="n"/>
      <c r="S335" s="97" t="n"/>
      <c r="T335" s="97" t="n"/>
      <c r="U335" s="97" t="n"/>
      <c r="V335" s="97" t="n"/>
      <c r="W335" s="97" t="n"/>
      <c r="X335" s="97" t="n"/>
      <c r="Y335" s="97" t="n"/>
      <c r="Z335" s="97" t="n"/>
      <c r="AA335" s="97" t="n"/>
      <c r="AB335" s="97" t="n"/>
      <c r="AC335" s="97" t="n"/>
      <c r="AD335" s="97" t="n"/>
      <c r="AE335" s="97" t="n"/>
      <c r="AF335" s="97" t="n"/>
      <c r="AG335" s="97" t="n"/>
      <c r="AH335" s="97" t="n"/>
      <c r="AI335" s="97" t="n"/>
      <c r="AJ335" s="97" t="n"/>
      <c r="AK335" s="97" t="n"/>
      <c r="AL335" s="97" t="n"/>
      <c r="AM335" s="97" t="n"/>
      <c r="AN335" s="97" t="n"/>
      <c r="AO335" s="97" t="n"/>
      <c r="AP335" s="97" t="n"/>
      <c r="AQ335" s="97" t="n"/>
      <c r="AR335" s="97" t="n"/>
      <c r="AS335" s="97" t="n"/>
      <c r="AT335" s="97" t="n"/>
      <c r="AU335" s="97" t="n"/>
      <c r="AV335" s="97" t="n"/>
      <c r="AW335" s="97" t="n"/>
      <c r="AX335" s="97" t="n"/>
      <c r="AY335" s="97" t="n"/>
      <c r="AZ335" s="97" t="n"/>
      <c r="BA335" s="97" t="n"/>
      <c r="BB335" s="97" t="n"/>
    </row>
    <row r="336" ht="22" customHeight="1" s="110">
      <c r="A336" s="96" t="n"/>
      <c r="B336" s="96" t="n"/>
      <c r="C336" s="96" t="n"/>
      <c r="D336" s="96" t="n"/>
      <c r="E336" s="96" t="n"/>
      <c r="F336" s="96" t="n"/>
      <c r="G336" s="96" t="n"/>
      <c r="H336" s="96" t="n"/>
      <c r="I336" s="96" t="n"/>
      <c r="J336" s="96" t="n"/>
      <c r="L336" s="96" t="n"/>
      <c r="M336" s="96" t="n"/>
      <c r="N336" s="96" t="n"/>
      <c r="O336" s="96" t="n"/>
      <c r="Q336" s="96" t="n"/>
      <c r="R336" s="96" t="n"/>
      <c r="S336" s="96" t="n"/>
      <c r="T336" s="96" t="n"/>
      <c r="U336" s="96" t="n"/>
      <c r="V336" s="96" t="n"/>
      <c r="W336" s="96" t="n"/>
      <c r="X336" s="96" t="n"/>
      <c r="Y336" s="96" t="n"/>
      <c r="Z336" s="96" t="n"/>
      <c r="AA336" s="96" t="n"/>
      <c r="AB336" s="96" t="n"/>
      <c r="AC336" s="96" t="n"/>
      <c r="AD336" s="96" t="n"/>
      <c r="AE336" s="96" t="n"/>
      <c r="AF336" s="96" t="n"/>
      <c r="AG336" s="96" t="n"/>
      <c r="AH336" s="96" t="n"/>
      <c r="AI336" s="96" t="n"/>
      <c r="AJ336" s="96" t="n"/>
      <c r="AK336" s="96" t="n"/>
      <c r="AL336" s="96" t="n"/>
      <c r="AM336" s="96" t="n"/>
      <c r="AN336" s="96" t="n"/>
      <c r="AO336" s="96" t="n"/>
      <c r="AP336" s="96" t="n"/>
      <c r="AQ336" s="96" t="n"/>
      <c r="AR336" s="96" t="n"/>
      <c r="AS336" s="96" t="n"/>
      <c r="AT336" s="96" t="n"/>
      <c r="AU336" s="96" t="n"/>
      <c r="AV336" s="96" t="n"/>
      <c r="AW336" s="96" t="n"/>
      <c r="AX336" s="96" t="n"/>
      <c r="AY336" s="96" t="n"/>
      <c r="AZ336" s="96" t="n"/>
      <c r="BA336" s="96" t="n"/>
      <c r="BB336" s="96" t="n"/>
    </row>
    <row r="337" ht="22" customHeight="1" s="110">
      <c r="A337" s="97" t="n"/>
      <c r="B337" s="97" t="n"/>
      <c r="C337" s="97" t="n"/>
      <c r="D337" s="97" t="n"/>
      <c r="E337" s="97" t="n"/>
      <c r="F337" s="97" t="n"/>
      <c r="G337" s="97" t="n"/>
      <c r="H337" s="97" t="n"/>
      <c r="I337" s="97" t="n"/>
      <c r="J337" s="97" t="n"/>
      <c r="L337" s="97" t="n"/>
      <c r="M337" s="97" t="n"/>
      <c r="N337" s="97" t="n"/>
      <c r="O337" s="97" t="n"/>
      <c r="Q337" s="97" t="n"/>
      <c r="R337" s="97" t="n"/>
      <c r="S337" s="97" t="n"/>
      <c r="T337" s="97" t="n"/>
      <c r="U337" s="97" t="n"/>
      <c r="V337" s="97" t="n"/>
      <c r="W337" s="97" t="n"/>
      <c r="X337" s="97" t="n"/>
      <c r="Y337" s="97" t="n"/>
      <c r="Z337" s="97" t="n"/>
      <c r="AA337" s="97" t="n"/>
      <c r="AB337" s="97" t="n"/>
      <c r="AC337" s="97" t="n"/>
      <c r="AD337" s="97" t="n"/>
      <c r="AE337" s="97" t="n"/>
      <c r="AF337" s="97" t="n"/>
      <c r="AG337" s="97" t="n"/>
      <c r="AH337" s="97" t="n"/>
      <c r="AI337" s="97" t="n"/>
      <c r="AJ337" s="97" t="n"/>
      <c r="AK337" s="97" t="n"/>
      <c r="AL337" s="97" t="n"/>
      <c r="AM337" s="97" t="n"/>
      <c r="AN337" s="97" t="n"/>
      <c r="AO337" s="97" t="n"/>
      <c r="AP337" s="97" t="n"/>
      <c r="AQ337" s="97" t="n"/>
      <c r="AR337" s="97" t="n"/>
      <c r="AS337" s="97" t="n"/>
      <c r="AT337" s="97" t="n"/>
      <c r="AU337" s="97" t="n"/>
      <c r="AV337" s="97" t="n"/>
      <c r="AW337" s="97" t="n"/>
      <c r="AX337" s="97" t="n"/>
      <c r="AY337" s="97" t="n"/>
      <c r="AZ337" s="97" t="n"/>
      <c r="BA337" s="97" t="n"/>
      <c r="BB337" s="97" t="n"/>
    </row>
    <row r="338" ht="22" customHeight="1" s="110">
      <c r="A338" s="96" t="n"/>
      <c r="B338" s="96" t="n"/>
      <c r="C338" s="96" t="n"/>
      <c r="D338" s="96" t="n"/>
      <c r="E338" s="96" t="n"/>
      <c r="F338" s="96" t="n"/>
      <c r="G338" s="96" t="n"/>
      <c r="H338" s="96" t="n"/>
      <c r="I338" s="96" t="n"/>
      <c r="J338" s="96" t="n"/>
      <c r="L338" s="96" t="n"/>
      <c r="M338" s="96" t="n"/>
      <c r="N338" s="96" t="n"/>
      <c r="O338" s="96" t="n"/>
      <c r="Q338" s="96" t="n"/>
      <c r="R338" s="96" t="n"/>
      <c r="S338" s="96" t="n"/>
      <c r="T338" s="96" t="n"/>
      <c r="U338" s="96" t="n"/>
      <c r="V338" s="96" t="n"/>
      <c r="W338" s="96" t="n"/>
      <c r="X338" s="96" t="n"/>
      <c r="Y338" s="96" t="n"/>
      <c r="Z338" s="96" t="n"/>
      <c r="AA338" s="96" t="n"/>
      <c r="AB338" s="96" t="n"/>
      <c r="AC338" s="96" t="n"/>
      <c r="AD338" s="96" t="n"/>
      <c r="AE338" s="96" t="n"/>
      <c r="AF338" s="96" t="n"/>
      <c r="AG338" s="96" t="n"/>
      <c r="AH338" s="96" t="n"/>
      <c r="AI338" s="96" t="n"/>
      <c r="AJ338" s="96" t="n"/>
      <c r="AK338" s="96" t="n"/>
      <c r="AL338" s="96" t="n"/>
      <c r="AM338" s="96" t="n"/>
      <c r="AN338" s="96" t="n"/>
      <c r="AO338" s="96" t="n"/>
      <c r="AP338" s="96" t="n"/>
      <c r="AQ338" s="96" t="n"/>
      <c r="AR338" s="96" t="n"/>
      <c r="AS338" s="96" t="n"/>
      <c r="AT338" s="96" t="n"/>
      <c r="AU338" s="96" t="n"/>
      <c r="AV338" s="96" t="n"/>
      <c r="AW338" s="96" t="n"/>
      <c r="AX338" s="96" t="n"/>
      <c r="AY338" s="96" t="n"/>
      <c r="AZ338" s="96" t="n"/>
      <c r="BA338" s="96" t="n"/>
      <c r="BB338" s="96" t="n"/>
    </row>
    <row r="339" ht="22" customHeight="1" s="110">
      <c r="A339" s="97" t="n"/>
      <c r="B339" s="97" t="n"/>
      <c r="C339" s="97" t="n"/>
      <c r="D339" s="97" t="n"/>
      <c r="E339" s="97" t="n"/>
      <c r="F339" s="97" t="n"/>
      <c r="G339" s="97" t="n"/>
      <c r="H339" s="97" t="n"/>
      <c r="I339" s="97" t="n"/>
      <c r="J339" s="97" t="n"/>
      <c r="L339" s="97" t="n"/>
      <c r="M339" s="97" t="n"/>
      <c r="N339" s="97" t="n"/>
      <c r="O339" s="97" t="n"/>
      <c r="Q339" s="97" t="n"/>
      <c r="R339" s="97" t="n"/>
      <c r="S339" s="97" t="n"/>
      <c r="T339" s="97" t="n"/>
      <c r="U339" s="97" t="n"/>
      <c r="V339" s="97" t="n"/>
      <c r="W339" s="97" t="n"/>
      <c r="X339" s="97" t="n"/>
      <c r="Y339" s="97" t="n"/>
      <c r="Z339" s="97" t="n"/>
      <c r="AA339" s="97" t="n"/>
      <c r="AB339" s="97" t="n"/>
      <c r="AC339" s="97" t="n"/>
      <c r="AD339" s="97" t="n"/>
      <c r="AE339" s="97" t="n"/>
      <c r="AF339" s="97" t="n"/>
      <c r="AG339" s="97" t="n"/>
      <c r="AH339" s="97" t="n"/>
      <c r="AI339" s="97" t="n"/>
      <c r="AJ339" s="97" t="n"/>
      <c r="AK339" s="97" t="n"/>
      <c r="AL339" s="97" t="n"/>
      <c r="AM339" s="97" t="n"/>
      <c r="AN339" s="97" t="n"/>
      <c r="AO339" s="97" t="n"/>
      <c r="AP339" s="97" t="n"/>
      <c r="AQ339" s="97" t="n"/>
      <c r="AR339" s="97" t="n"/>
      <c r="AS339" s="97" t="n"/>
      <c r="AT339" s="97" t="n"/>
      <c r="AU339" s="97" t="n"/>
      <c r="AV339" s="97" t="n"/>
      <c r="AW339" s="97" t="n"/>
      <c r="AX339" s="97" t="n"/>
      <c r="AY339" s="97" t="n"/>
      <c r="AZ339" s="97" t="n"/>
      <c r="BA339" s="97" t="n"/>
      <c r="BB339" s="97" t="n"/>
    </row>
    <row r="340" ht="22" customHeight="1" s="110">
      <c r="A340" s="96" t="n"/>
      <c r="B340" s="96" t="n"/>
      <c r="C340" s="96" t="n"/>
      <c r="D340" s="96" t="n"/>
      <c r="E340" s="96" t="n"/>
      <c r="F340" s="96" t="n"/>
      <c r="G340" s="96" t="n"/>
      <c r="H340" s="96" t="n"/>
      <c r="I340" s="96" t="n"/>
      <c r="J340" s="96" t="n"/>
      <c r="L340" s="96" t="n"/>
      <c r="M340" s="96" t="n"/>
      <c r="N340" s="96" t="n"/>
      <c r="O340" s="96" t="n"/>
      <c r="Q340" s="96" t="n"/>
      <c r="R340" s="96" t="n"/>
      <c r="S340" s="96" t="n"/>
      <c r="T340" s="96" t="n"/>
      <c r="U340" s="96" t="n"/>
      <c r="V340" s="96" t="n"/>
      <c r="W340" s="96" t="n"/>
      <c r="X340" s="96" t="n"/>
      <c r="Y340" s="96" t="n"/>
      <c r="Z340" s="96" t="n"/>
      <c r="AA340" s="96" t="n"/>
      <c r="AB340" s="96" t="n"/>
      <c r="AC340" s="96" t="n"/>
      <c r="AD340" s="96" t="n"/>
      <c r="AE340" s="96" t="n"/>
      <c r="AF340" s="96" t="n"/>
      <c r="AG340" s="96" t="n"/>
      <c r="AH340" s="96" t="n"/>
      <c r="AI340" s="96" t="n"/>
      <c r="AJ340" s="96" t="n"/>
      <c r="AK340" s="96" t="n"/>
      <c r="AL340" s="96" t="n"/>
      <c r="AM340" s="96" t="n"/>
      <c r="AN340" s="96" t="n"/>
      <c r="AO340" s="96" t="n"/>
      <c r="AP340" s="96" t="n"/>
      <c r="AQ340" s="96" t="n"/>
      <c r="AR340" s="96" t="n"/>
      <c r="AS340" s="96" t="n"/>
      <c r="AT340" s="96" t="n"/>
      <c r="AU340" s="96" t="n"/>
      <c r="AV340" s="96" t="n"/>
      <c r="AW340" s="96" t="n"/>
      <c r="AX340" s="96" t="n"/>
      <c r="AY340" s="96" t="n"/>
      <c r="AZ340" s="96" t="n"/>
      <c r="BA340" s="96" t="n"/>
      <c r="BB340" s="96" t="n"/>
    </row>
    <row r="341" ht="22" customHeight="1" s="110">
      <c r="A341" s="97" t="n"/>
      <c r="B341" s="97" t="n"/>
      <c r="C341" s="97" t="n"/>
      <c r="D341" s="97" t="n"/>
      <c r="E341" s="97" t="n"/>
      <c r="F341" s="97" t="n"/>
      <c r="G341" s="97" t="n"/>
      <c r="H341" s="97" t="n"/>
      <c r="I341" s="97" t="n"/>
      <c r="J341" s="97" t="n"/>
      <c r="L341" s="97" t="n"/>
      <c r="M341" s="97" t="n"/>
      <c r="N341" s="97" t="n"/>
      <c r="O341" s="97" t="n"/>
      <c r="Q341" s="97" t="n"/>
      <c r="R341" s="97" t="n"/>
      <c r="S341" s="97" t="n"/>
      <c r="T341" s="97" t="n"/>
      <c r="U341" s="97" t="n"/>
      <c r="V341" s="97" t="n"/>
      <c r="W341" s="97" t="n"/>
      <c r="X341" s="97" t="n"/>
      <c r="Y341" s="97" t="n"/>
      <c r="Z341" s="97" t="n"/>
      <c r="AA341" s="97" t="n"/>
      <c r="AB341" s="97" t="n"/>
      <c r="AC341" s="97" t="n"/>
      <c r="AD341" s="97" t="n"/>
      <c r="AE341" s="97" t="n"/>
      <c r="AF341" s="97" t="n"/>
      <c r="AG341" s="97" t="n"/>
      <c r="AH341" s="97" t="n"/>
      <c r="AI341" s="97" t="n"/>
      <c r="AJ341" s="97" t="n"/>
      <c r="AK341" s="97" t="n"/>
      <c r="AL341" s="97" t="n"/>
      <c r="AM341" s="97" t="n"/>
      <c r="AN341" s="97" t="n"/>
      <c r="AO341" s="97" t="n"/>
      <c r="AP341" s="97" t="n"/>
      <c r="AQ341" s="97" t="n"/>
      <c r="AR341" s="97" t="n"/>
      <c r="AS341" s="97" t="n"/>
      <c r="AT341" s="97" t="n"/>
      <c r="AU341" s="97" t="n"/>
      <c r="AV341" s="97" t="n"/>
      <c r="AW341" s="97" t="n"/>
      <c r="AX341" s="97" t="n"/>
      <c r="AY341" s="97" t="n"/>
      <c r="AZ341" s="97" t="n"/>
      <c r="BA341" s="97" t="n"/>
      <c r="BB341" s="97" t="n"/>
    </row>
    <row r="342" ht="22" customHeight="1" s="110">
      <c r="A342" s="96" t="n"/>
      <c r="B342" s="96" t="n"/>
      <c r="C342" s="96" t="n"/>
      <c r="D342" s="96" t="n"/>
      <c r="E342" s="96" t="n"/>
      <c r="F342" s="96" t="n"/>
      <c r="G342" s="96" t="n"/>
      <c r="H342" s="96" t="n"/>
      <c r="I342" s="96" t="n"/>
      <c r="J342" s="96" t="n"/>
      <c r="L342" s="96" t="n"/>
      <c r="M342" s="96" t="n"/>
      <c r="N342" s="96" t="n"/>
      <c r="O342" s="96" t="n"/>
      <c r="Q342" s="96" t="n"/>
      <c r="R342" s="96" t="n"/>
      <c r="S342" s="96" t="n"/>
      <c r="T342" s="96" t="n"/>
      <c r="U342" s="96" t="n"/>
      <c r="V342" s="96" t="n"/>
      <c r="W342" s="96" t="n"/>
      <c r="X342" s="96" t="n"/>
      <c r="Y342" s="96" t="n"/>
      <c r="Z342" s="96" t="n"/>
      <c r="AA342" s="96" t="n"/>
      <c r="AB342" s="96" t="n"/>
      <c r="AC342" s="96" t="n"/>
      <c r="AD342" s="96" t="n"/>
      <c r="AE342" s="96" t="n"/>
      <c r="AF342" s="96" t="n"/>
      <c r="AG342" s="96" t="n"/>
      <c r="AH342" s="96" t="n"/>
      <c r="AI342" s="96" t="n"/>
      <c r="AJ342" s="96" t="n"/>
      <c r="AK342" s="96" t="n"/>
      <c r="AL342" s="96" t="n"/>
      <c r="AM342" s="96" t="n"/>
      <c r="AN342" s="96" t="n"/>
      <c r="AO342" s="96" t="n"/>
      <c r="AP342" s="96" t="n"/>
      <c r="AQ342" s="96" t="n"/>
      <c r="AR342" s="96" t="n"/>
      <c r="AS342" s="96" t="n"/>
      <c r="AT342" s="96" t="n"/>
      <c r="AU342" s="96" t="n"/>
      <c r="AV342" s="96" t="n"/>
      <c r="AW342" s="96" t="n"/>
      <c r="AX342" s="96" t="n"/>
      <c r="AY342" s="96" t="n"/>
      <c r="AZ342" s="96" t="n"/>
      <c r="BA342" s="96" t="n"/>
      <c r="BB342" s="96" t="n"/>
    </row>
    <row r="343" ht="22" customHeight="1" s="110">
      <c r="A343" s="97" t="n"/>
      <c r="B343" s="97" t="n"/>
      <c r="C343" s="97" t="n"/>
      <c r="D343" s="97" t="n"/>
      <c r="E343" s="97" t="n"/>
      <c r="F343" s="97" t="n"/>
      <c r="G343" s="97" t="n"/>
      <c r="H343" s="97" t="n"/>
      <c r="I343" s="97" t="n"/>
      <c r="J343" s="97" t="n"/>
      <c r="L343" s="97" t="n"/>
      <c r="M343" s="97" t="n"/>
      <c r="N343" s="97" t="n"/>
      <c r="O343" s="97" t="n"/>
      <c r="Q343" s="97" t="n"/>
      <c r="R343" s="97" t="n"/>
      <c r="S343" s="97" t="n"/>
      <c r="T343" s="97" t="n"/>
      <c r="U343" s="97" t="n"/>
      <c r="V343" s="97" t="n"/>
      <c r="W343" s="97" t="n"/>
      <c r="X343" s="97" t="n"/>
      <c r="Y343" s="97" t="n"/>
      <c r="Z343" s="97" t="n"/>
      <c r="AA343" s="97" t="n"/>
      <c r="AB343" s="97" t="n"/>
      <c r="AC343" s="97" t="n"/>
      <c r="AD343" s="97" t="n"/>
      <c r="AE343" s="97" t="n"/>
      <c r="AF343" s="97" t="n"/>
      <c r="AG343" s="97" t="n"/>
      <c r="AH343" s="97" t="n"/>
      <c r="AI343" s="97" t="n"/>
      <c r="AJ343" s="97" t="n"/>
      <c r="AK343" s="97" t="n"/>
      <c r="AL343" s="97" t="n"/>
      <c r="AM343" s="97" t="n"/>
      <c r="AN343" s="97" t="n"/>
      <c r="AO343" s="97" t="n"/>
      <c r="AP343" s="97" t="n"/>
      <c r="AQ343" s="97" t="n"/>
      <c r="AR343" s="97" t="n"/>
      <c r="AS343" s="97" t="n"/>
      <c r="AT343" s="97" t="n"/>
      <c r="AU343" s="97" t="n"/>
      <c r="AV343" s="97" t="n"/>
      <c r="AW343" s="97" t="n"/>
      <c r="AX343" s="97" t="n"/>
      <c r="AY343" s="97" t="n"/>
      <c r="AZ343" s="97" t="n"/>
      <c r="BA343" s="97" t="n"/>
      <c r="BB343" s="97" t="n"/>
    </row>
    <row r="344" ht="22" customHeight="1" s="110">
      <c r="A344" s="96" t="n"/>
      <c r="B344" s="96" t="n"/>
      <c r="C344" s="96" t="n"/>
      <c r="D344" s="96" t="n"/>
      <c r="E344" s="96" t="n"/>
      <c r="F344" s="96" t="n"/>
      <c r="G344" s="96" t="n"/>
      <c r="H344" s="96" t="n"/>
      <c r="I344" s="96" t="n"/>
      <c r="J344" s="96" t="n"/>
      <c r="L344" s="96" t="n"/>
      <c r="M344" s="96" t="n"/>
      <c r="N344" s="96" t="n"/>
      <c r="O344" s="96" t="n"/>
      <c r="Q344" s="96" t="n"/>
      <c r="R344" s="96" t="n"/>
      <c r="S344" s="96" t="n"/>
      <c r="T344" s="96" t="n"/>
      <c r="U344" s="96" t="n"/>
      <c r="V344" s="96" t="n"/>
      <c r="W344" s="96" t="n"/>
      <c r="X344" s="96" t="n"/>
      <c r="Y344" s="96" t="n"/>
      <c r="Z344" s="96" t="n"/>
      <c r="AA344" s="96" t="n"/>
      <c r="AB344" s="96" t="n"/>
      <c r="AC344" s="96" t="n"/>
      <c r="AD344" s="96" t="n"/>
      <c r="AE344" s="96" t="n"/>
      <c r="AF344" s="96" t="n"/>
      <c r="AG344" s="96" t="n"/>
      <c r="AH344" s="96" t="n"/>
      <c r="AI344" s="96" t="n"/>
      <c r="AJ344" s="96" t="n"/>
      <c r="AK344" s="96" t="n"/>
      <c r="AL344" s="96" t="n"/>
      <c r="AM344" s="96" t="n"/>
      <c r="AN344" s="96" t="n"/>
      <c r="AO344" s="96" t="n"/>
      <c r="AP344" s="96" t="n"/>
      <c r="AQ344" s="96" t="n"/>
      <c r="AR344" s="96" t="n"/>
      <c r="AS344" s="96" t="n"/>
      <c r="AT344" s="96" t="n"/>
      <c r="AU344" s="96" t="n"/>
      <c r="AV344" s="96" t="n"/>
      <c r="AW344" s="96" t="n"/>
      <c r="AX344" s="96" t="n"/>
      <c r="AY344" s="96" t="n"/>
      <c r="AZ344" s="96" t="n"/>
      <c r="BA344" s="96" t="n"/>
      <c r="BB344" s="96" t="n"/>
    </row>
    <row r="345" ht="22" customHeight="1" s="110">
      <c r="A345" s="97" t="n"/>
      <c r="B345" s="97" t="n"/>
      <c r="C345" s="97" t="n"/>
      <c r="D345" s="97" t="n"/>
      <c r="E345" s="97" t="n"/>
      <c r="F345" s="97" t="n"/>
      <c r="G345" s="97" t="n"/>
      <c r="H345" s="97" t="n"/>
      <c r="I345" s="97" t="n"/>
      <c r="J345" s="97" t="n"/>
      <c r="L345" s="97" t="n"/>
      <c r="M345" s="97" t="n"/>
      <c r="N345" s="97" t="n"/>
      <c r="O345" s="97" t="n"/>
      <c r="Q345" s="97" t="n"/>
      <c r="R345" s="97" t="n"/>
      <c r="S345" s="97" t="n"/>
      <c r="T345" s="97" t="n"/>
      <c r="U345" s="97" t="n"/>
      <c r="V345" s="97" t="n"/>
      <c r="W345" s="97" t="n"/>
      <c r="X345" s="97" t="n"/>
      <c r="Y345" s="97" t="n"/>
      <c r="Z345" s="97" t="n"/>
      <c r="AA345" s="97" t="n"/>
      <c r="AB345" s="97" t="n"/>
      <c r="AC345" s="97" t="n"/>
      <c r="AD345" s="97" t="n"/>
      <c r="AE345" s="97" t="n"/>
      <c r="AF345" s="97" t="n"/>
      <c r="AG345" s="97" t="n"/>
      <c r="AH345" s="97" t="n"/>
      <c r="AI345" s="97" t="n"/>
      <c r="AJ345" s="97" t="n"/>
      <c r="AK345" s="97" t="n"/>
      <c r="AL345" s="97" t="n"/>
      <c r="AM345" s="97" t="n"/>
      <c r="AN345" s="97" t="n"/>
      <c r="AO345" s="97" t="n"/>
      <c r="AP345" s="97" t="n"/>
      <c r="AQ345" s="97" t="n"/>
      <c r="AR345" s="97" t="n"/>
      <c r="AS345" s="97" t="n"/>
      <c r="AT345" s="97" t="n"/>
      <c r="AU345" s="97" t="n"/>
      <c r="AV345" s="97" t="n"/>
      <c r="AW345" s="97" t="n"/>
      <c r="AX345" s="97" t="n"/>
      <c r="AY345" s="97" t="n"/>
      <c r="AZ345" s="97" t="n"/>
      <c r="BA345" s="97" t="n"/>
      <c r="BB345" s="97" t="n"/>
    </row>
    <row r="346" ht="22" customHeight="1" s="110">
      <c r="A346" s="96" t="n"/>
      <c r="B346" s="96" t="n"/>
      <c r="C346" s="96" t="n"/>
      <c r="D346" s="96" t="n"/>
      <c r="E346" s="96" t="n"/>
      <c r="F346" s="96" t="n"/>
      <c r="G346" s="96" t="n"/>
      <c r="H346" s="96" t="n"/>
      <c r="I346" s="96" t="n"/>
      <c r="J346" s="96" t="n"/>
      <c r="L346" s="96" t="n"/>
      <c r="M346" s="96" t="n"/>
      <c r="N346" s="96" t="n"/>
      <c r="O346" s="96" t="n"/>
      <c r="Q346" s="96" t="n"/>
      <c r="R346" s="96" t="n"/>
      <c r="S346" s="96" t="n"/>
      <c r="T346" s="96" t="n"/>
      <c r="U346" s="96" t="n"/>
      <c r="V346" s="96" t="n"/>
      <c r="W346" s="96" t="n"/>
      <c r="X346" s="96" t="n"/>
      <c r="Y346" s="96" t="n"/>
      <c r="Z346" s="96" t="n"/>
      <c r="AA346" s="96" t="n"/>
      <c r="AB346" s="96" t="n"/>
      <c r="AC346" s="96" t="n"/>
      <c r="AD346" s="96" t="n"/>
      <c r="AE346" s="96" t="n"/>
      <c r="AF346" s="96" t="n"/>
      <c r="AG346" s="96" t="n"/>
      <c r="AH346" s="96" t="n"/>
      <c r="AI346" s="96" t="n"/>
      <c r="AJ346" s="96" t="n"/>
      <c r="AK346" s="96" t="n"/>
      <c r="AL346" s="96" t="n"/>
      <c r="AM346" s="96" t="n"/>
      <c r="AN346" s="96" t="n"/>
      <c r="AO346" s="96" t="n"/>
      <c r="AP346" s="96" t="n"/>
      <c r="AQ346" s="96" t="n"/>
      <c r="AR346" s="96" t="n"/>
      <c r="AS346" s="96" t="n"/>
      <c r="AT346" s="96" t="n"/>
      <c r="AU346" s="96" t="n"/>
      <c r="AV346" s="96" t="n"/>
      <c r="AW346" s="96" t="n"/>
      <c r="AX346" s="96" t="n"/>
      <c r="AY346" s="96" t="n"/>
      <c r="AZ346" s="96" t="n"/>
      <c r="BA346" s="96" t="n"/>
      <c r="BB346" s="96" t="n"/>
    </row>
    <row r="347" ht="22" customHeight="1" s="110">
      <c r="A347" s="97" t="n"/>
      <c r="B347" s="97" t="n"/>
      <c r="C347" s="97" t="n"/>
      <c r="D347" s="97" t="n"/>
      <c r="E347" s="97" t="n"/>
      <c r="F347" s="97" t="n"/>
      <c r="G347" s="97" t="n"/>
      <c r="H347" s="97" t="n"/>
      <c r="I347" s="97" t="n"/>
      <c r="J347" s="97" t="n"/>
      <c r="L347" s="97" t="n"/>
      <c r="M347" s="97" t="n"/>
      <c r="N347" s="97" t="n"/>
      <c r="O347" s="97" t="n"/>
      <c r="Q347" s="97" t="n"/>
      <c r="R347" s="97" t="n"/>
      <c r="S347" s="97" t="n"/>
      <c r="T347" s="97" t="n"/>
      <c r="U347" s="97" t="n"/>
      <c r="V347" s="97" t="n"/>
      <c r="W347" s="97" t="n"/>
      <c r="X347" s="97" t="n"/>
      <c r="Y347" s="97" t="n"/>
      <c r="Z347" s="97" t="n"/>
      <c r="AA347" s="97" t="n"/>
      <c r="AB347" s="97" t="n"/>
      <c r="AC347" s="97" t="n"/>
      <c r="AD347" s="97" t="n"/>
      <c r="AE347" s="97" t="n"/>
      <c r="AF347" s="97" t="n"/>
      <c r="AG347" s="97" t="n"/>
      <c r="AH347" s="97" t="n"/>
      <c r="AI347" s="97" t="n"/>
      <c r="AJ347" s="97" t="n"/>
      <c r="AK347" s="97" t="n"/>
      <c r="AL347" s="97" t="n"/>
      <c r="AM347" s="97" t="n"/>
      <c r="AN347" s="97" t="n"/>
      <c r="AO347" s="97" t="n"/>
      <c r="AP347" s="97" t="n"/>
      <c r="AQ347" s="97" t="n"/>
      <c r="AR347" s="97" t="n"/>
      <c r="AS347" s="97" t="n"/>
      <c r="AT347" s="97" t="n"/>
      <c r="AU347" s="97" t="n"/>
      <c r="AV347" s="97" t="n"/>
      <c r="AW347" s="97" t="n"/>
      <c r="AX347" s="97" t="n"/>
      <c r="AY347" s="97" t="n"/>
      <c r="AZ347" s="97" t="n"/>
      <c r="BA347" s="97" t="n"/>
      <c r="BB347" s="97" t="n"/>
    </row>
    <row r="348" ht="22" customHeight="1" s="110">
      <c r="A348" s="96" t="n"/>
      <c r="B348" s="96" t="n"/>
      <c r="C348" s="96" t="n"/>
      <c r="D348" s="96" t="n"/>
      <c r="E348" s="96" t="n"/>
      <c r="F348" s="96" t="n"/>
      <c r="G348" s="96" t="n"/>
      <c r="H348" s="96" t="n"/>
      <c r="I348" s="96" t="n"/>
      <c r="J348" s="96" t="n"/>
      <c r="L348" s="96" t="n"/>
      <c r="M348" s="96" t="n"/>
      <c r="N348" s="96" t="n"/>
      <c r="O348" s="96" t="n"/>
      <c r="Q348" s="96" t="n"/>
      <c r="R348" s="96" t="n"/>
      <c r="S348" s="96" t="n"/>
      <c r="T348" s="96" t="n"/>
      <c r="U348" s="96" t="n"/>
      <c r="V348" s="96" t="n"/>
      <c r="W348" s="96" t="n"/>
      <c r="X348" s="96" t="n"/>
      <c r="Y348" s="96" t="n"/>
      <c r="Z348" s="96" t="n"/>
      <c r="AA348" s="96" t="n"/>
      <c r="AB348" s="96" t="n"/>
      <c r="AC348" s="96" t="n"/>
      <c r="AD348" s="96" t="n"/>
      <c r="AE348" s="96" t="n"/>
      <c r="AF348" s="96" t="n"/>
      <c r="AG348" s="96" t="n"/>
      <c r="AH348" s="96" t="n"/>
      <c r="AI348" s="96" t="n"/>
      <c r="AJ348" s="96" t="n"/>
      <c r="AK348" s="96" t="n"/>
      <c r="AL348" s="96" t="n"/>
      <c r="AM348" s="96" t="n"/>
      <c r="AN348" s="96" t="n"/>
      <c r="AO348" s="96" t="n"/>
      <c r="AP348" s="96" t="n"/>
      <c r="AQ348" s="96" t="n"/>
      <c r="AR348" s="96" t="n"/>
      <c r="AS348" s="96" t="n"/>
      <c r="AT348" s="96" t="n"/>
      <c r="AU348" s="96" t="n"/>
      <c r="AV348" s="96" t="n"/>
      <c r="AW348" s="96" t="n"/>
      <c r="AX348" s="96" t="n"/>
      <c r="AY348" s="96" t="n"/>
      <c r="AZ348" s="96" t="n"/>
      <c r="BA348" s="96" t="n"/>
      <c r="BB348" s="96" t="n"/>
    </row>
    <row r="349" ht="22" customHeight="1" s="110">
      <c r="A349" s="97" t="n"/>
      <c r="B349" s="97" t="n"/>
      <c r="C349" s="97" t="n"/>
      <c r="D349" s="97" t="n"/>
      <c r="E349" s="97" t="n"/>
      <c r="F349" s="97" t="n"/>
      <c r="G349" s="97" t="n"/>
      <c r="H349" s="97" t="n"/>
      <c r="I349" s="97" t="n"/>
      <c r="J349" s="97" t="n"/>
      <c r="L349" s="97" t="n"/>
      <c r="M349" s="97" t="n"/>
      <c r="N349" s="97" t="n"/>
      <c r="O349" s="97" t="n"/>
      <c r="Q349" s="97" t="n"/>
      <c r="R349" s="97" t="n"/>
      <c r="S349" s="97" t="n"/>
      <c r="T349" s="97" t="n"/>
      <c r="U349" s="97" t="n"/>
      <c r="V349" s="97" t="n"/>
      <c r="W349" s="97" t="n"/>
      <c r="X349" s="97" t="n"/>
      <c r="Y349" s="97" t="n"/>
      <c r="Z349" s="97" t="n"/>
      <c r="AA349" s="97" t="n"/>
      <c r="AB349" s="97" t="n"/>
      <c r="AC349" s="97" t="n"/>
      <c r="AD349" s="97" t="n"/>
      <c r="AE349" s="97" t="n"/>
      <c r="AF349" s="97" t="n"/>
      <c r="AG349" s="97" t="n"/>
      <c r="AH349" s="97" t="n"/>
      <c r="AI349" s="97" t="n"/>
      <c r="AJ349" s="97" t="n"/>
      <c r="AK349" s="97" t="n"/>
      <c r="AL349" s="97" t="n"/>
      <c r="AM349" s="97" t="n"/>
      <c r="AN349" s="97" t="n"/>
      <c r="AO349" s="97" t="n"/>
      <c r="AP349" s="97" t="n"/>
      <c r="AQ349" s="97" t="n"/>
      <c r="AR349" s="97" t="n"/>
      <c r="AS349" s="97" t="n"/>
      <c r="AT349" s="97" t="n"/>
      <c r="AU349" s="97" t="n"/>
      <c r="AV349" s="97" t="n"/>
      <c r="AW349" s="97" t="n"/>
      <c r="AX349" s="97" t="n"/>
      <c r="AY349" s="97" t="n"/>
      <c r="AZ349" s="97" t="n"/>
      <c r="BA349" s="97" t="n"/>
      <c r="BB349" s="97" t="n"/>
    </row>
    <row r="350" ht="22" customHeight="1" s="110">
      <c r="A350" s="96" t="n"/>
      <c r="B350" s="96" t="n"/>
      <c r="C350" s="96" t="n"/>
      <c r="D350" s="96" t="n"/>
      <c r="E350" s="96" t="n"/>
      <c r="F350" s="96" t="n"/>
      <c r="G350" s="96" t="n"/>
      <c r="H350" s="96" t="n"/>
      <c r="I350" s="96" t="n"/>
      <c r="J350" s="96" t="n"/>
      <c r="L350" s="96" t="n"/>
      <c r="M350" s="96" t="n"/>
      <c r="N350" s="96" t="n"/>
      <c r="O350" s="96" t="n"/>
      <c r="Q350" s="96" t="n"/>
      <c r="R350" s="96" t="n"/>
      <c r="S350" s="96" t="n"/>
      <c r="T350" s="96" t="n"/>
      <c r="U350" s="96" t="n"/>
      <c r="V350" s="96" t="n"/>
      <c r="W350" s="96" t="n"/>
      <c r="X350" s="96" t="n"/>
      <c r="Y350" s="96" t="n"/>
      <c r="Z350" s="96" t="n"/>
      <c r="AA350" s="96" t="n"/>
      <c r="AB350" s="96" t="n"/>
      <c r="AC350" s="96" t="n"/>
      <c r="AD350" s="96" t="n"/>
      <c r="AE350" s="96" t="n"/>
      <c r="AF350" s="96" t="n"/>
      <c r="AG350" s="96" t="n"/>
      <c r="AH350" s="96" t="n"/>
      <c r="AI350" s="96" t="n"/>
      <c r="AJ350" s="96" t="n"/>
      <c r="AK350" s="96" t="n"/>
      <c r="AL350" s="96" t="n"/>
      <c r="AM350" s="96" t="n"/>
      <c r="AN350" s="96" t="n"/>
      <c r="AO350" s="96" t="n"/>
      <c r="AP350" s="96" t="n"/>
      <c r="AQ350" s="96" t="n"/>
      <c r="AR350" s="96" t="n"/>
      <c r="AS350" s="96" t="n"/>
      <c r="AT350" s="96" t="n"/>
      <c r="AU350" s="96" t="n"/>
      <c r="AV350" s="96" t="n"/>
      <c r="AW350" s="96" t="n"/>
      <c r="AX350" s="96" t="n"/>
      <c r="AY350" s="96" t="n"/>
      <c r="AZ350" s="96" t="n"/>
      <c r="BA350" s="96" t="n"/>
      <c r="BB350" s="96" t="n"/>
    </row>
    <row r="351" ht="22" customHeight="1" s="110">
      <c r="A351" s="97" t="n"/>
      <c r="B351" s="97" t="n"/>
      <c r="C351" s="97" t="n"/>
      <c r="D351" s="97" t="n"/>
      <c r="E351" s="97" t="n"/>
      <c r="F351" s="97" t="n"/>
      <c r="G351" s="97" t="n"/>
      <c r="H351" s="97" t="n"/>
      <c r="I351" s="97" t="n"/>
      <c r="J351" s="97" t="n"/>
      <c r="L351" s="97" t="n"/>
      <c r="M351" s="97" t="n"/>
      <c r="N351" s="97" t="n"/>
      <c r="O351" s="97" t="n"/>
      <c r="Q351" s="97" t="n"/>
      <c r="R351" s="97" t="n"/>
      <c r="S351" s="97" t="n"/>
      <c r="T351" s="97" t="n"/>
      <c r="U351" s="97" t="n"/>
      <c r="V351" s="97" t="n"/>
      <c r="W351" s="97" t="n"/>
      <c r="X351" s="97" t="n"/>
      <c r="Y351" s="97" t="n"/>
      <c r="Z351" s="97" t="n"/>
      <c r="AA351" s="97" t="n"/>
      <c r="AB351" s="97" t="n"/>
      <c r="AC351" s="97" t="n"/>
      <c r="AD351" s="97" t="n"/>
      <c r="AE351" s="97" t="n"/>
      <c r="AF351" s="97" t="n"/>
      <c r="AG351" s="97" t="n"/>
      <c r="AH351" s="97" t="n"/>
      <c r="AI351" s="97" t="n"/>
      <c r="AJ351" s="97" t="n"/>
      <c r="AK351" s="97" t="n"/>
      <c r="AL351" s="97" t="n"/>
      <c r="AM351" s="97" t="n"/>
      <c r="AN351" s="97" t="n"/>
      <c r="AO351" s="97" t="n"/>
      <c r="AP351" s="97" t="n"/>
      <c r="AQ351" s="97" t="n"/>
      <c r="AR351" s="97" t="n"/>
      <c r="AS351" s="97" t="n"/>
      <c r="AT351" s="97" t="n"/>
      <c r="AU351" s="97" t="n"/>
      <c r="AV351" s="97" t="n"/>
      <c r="AW351" s="97" t="n"/>
      <c r="AX351" s="97" t="n"/>
      <c r="AY351" s="97" t="n"/>
      <c r="AZ351" s="97" t="n"/>
      <c r="BA351" s="97" t="n"/>
      <c r="BB351" s="97" t="n"/>
    </row>
    <row r="352" ht="22" customHeight="1" s="110">
      <c r="A352" s="96" t="n"/>
      <c r="B352" s="96" t="n"/>
      <c r="C352" s="96" t="n"/>
      <c r="D352" s="96" t="n"/>
      <c r="E352" s="96" t="n"/>
      <c r="F352" s="96" t="n"/>
      <c r="G352" s="96" t="n"/>
      <c r="H352" s="96" t="n"/>
      <c r="I352" s="96" t="n"/>
      <c r="J352" s="96" t="n"/>
      <c r="L352" s="96" t="n"/>
      <c r="M352" s="96" t="n"/>
      <c r="N352" s="96" t="n"/>
      <c r="O352" s="96" t="n"/>
      <c r="Q352" s="96" t="n"/>
      <c r="R352" s="96" t="n"/>
      <c r="S352" s="96" t="n"/>
      <c r="T352" s="96" t="n"/>
      <c r="U352" s="96" t="n"/>
      <c r="V352" s="96" t="n"/>
      <c r="W352" s="96" t="n"/>
      <c r="X352" s="96" t="n"/>
      <c r="Y352" s="96" t="n"/>
      <c r="Z352" s="96" t="n"/>
      <c r="AA352" s="96" t="n"/>
      <c r="AB352" s="96" t="n"/>
      <c r="AC352" s="96" t="n"/>
      <c r="AD352" s="96" t="n"/>
      <c r="AE352" s="96" t="n"/>
      <c r="AF352" s="96" t="n"/>
      <c r="AG352" s="96" t="n"/>
      <c r="AH352" s="96" t="n"/>
      <c r="AI352" s="96" t="n"/>
      <c r="AJ352" s="96" t="n"/>
      <c r="AK352" s="96" t="n"/>
      <c r="AL352" s="96" t="n"/>
      <c r="AM352" s="96" t="n"/>
      <c r="AN352" s="96" t="n"/>
      <c r="AO352" s="96" t="n"/>
      <c r="AP352" s="96" t="n"/>
      <c r="AQ352" s="96" t="n"/>
      <c r="AR352" s="96" t="n"/>
      <c r="AS352" s="96" t="n"/>
      <c r="AT352" s="96" t="n"/>
      <c r="AU352" s="96" t="n"/>
      <c r="AV352" s="96" t="n"/>
      <c r="AW352" s="96" t="n"/>
      <c r="AX352" s="96" t="n"/>
      <c r="AY352" s="96" t="n"/>
      <c r="AZ352" s="96" t="n"/>
      <c r="BA352" s="96" t="n"/>
      <c r="BB352" s="96" t="n"/>
    </row>
    <row r="353" ht="22" customHeight="1" s="110">
      <c r="A353" s="97" t="n"/>
      <c r="B353" s="97" t="n"/>
      <c r="C353" s="97" t="n"/>
      <c r="D353" s="97" t="n"/>
      <c r="E353" s="97" t="n"/>
      <c r="F353" s="97" t="n"/>
      <c r="G353" s="97" t="n"/>
      <c r="H353" s="97" t="n"/>
      <c r="I353" s="97" t="n"/>
      <c r="J353" s="97" t="n"/>
      <c r="L353" s="97" t="n"/>
      <c r="M353" s="97" t="n"/>
      <c r="N353" s="97" t="n"/>
      <c r="O353" s="97" t="n"/>
      <c r="Q353" s="97" t="n"/>
      <c r="R353" s="97" t="n"/>
      <c r="S353" s="97" t="n"/>
      <c r="T353" s="97" t="n"/>
      <c r="U353" s="97" t="n"/>
      <c r="V353" s="97" t="n"/>
      <c r="W353" s="97" t="n"/>
      <c r="X353" s="97" t="n"/>
      <c r="Y353" s="97" t="n"/>
      <c r="Z353" s="97" t="n"/>
      <c r="AA353" s="97" t="n"/>
      <c r="AB353" s="97" t="n"/>
      <c r="AC353" s="97" t="n"/>
      <c r="AD353" s="97" t="n"/>
      <c r="AE353" s="97" t="n"/>
      <c r="AF353" s="97" t="n"/>
      <c r="AG353" s="97" t="n"/>
      <c r="AH353" s="97" t="n"/>
      <c r="AI353" s="97" t="n"/>
      <c r="AJ353" s="97" t="n"/>
      <c r="AK353" s="97" t="n"/>
      <c r="AL353" s="97" t="n"/>
      <c r="AM353" s="97" t="n"/>
      <c r="AN353" s="97" t="n"/>
      <c r="AO353" s="97" t="n"/>
      <c r="AP353" s="97" t="n"/>
      <c r="AQ353" s="97" t="n"/>
      <c r="AR353" s="97" t="n"/>
      <c r="AS353" s="97" t="n"/>
      <c r="AT353" s="97" t="n"/>
      <c r="AU353" s="97" t="n"/>
      <c r="AV353" s="97" t="n"/>
      <c r="AW353" s="97" t="n"/>
      <c r="AX353" s="97" t="n"/>
      <c r="AY353" s="97" t="n"/>
      <c r="AZ353" s="97" t="n"/>
      <c r="BA353" s="97" t="n"/>
      <c r="BB353" s="97" t="n"/>
    </row>
    <row r="354" ht="22" customHeight="1" s="110">
      <c r="A354" s="96" t="n"/>
      <c r="B354" s="96" t="n"/>
      <c r="C354" s="96" t="n"/>
      <c r="D354" s="96" t="n"/>
      <c r="E354" s="96" t="n"/>
      <c r="F354" s="96" t="n"/>
      <c r="G354" s="96" t="n"/>
      <c r="H354" s="96" t="n"/>
      <c r="I354" s="96" t="n"/>
      <c r="J354" s="96" t="n"/>
      <c r="L354" s="96" t="n"/>
      <c r="M354" s="96" t="n"/>
      <c r="N354" s="96" t="n"/>
      <c r="O354" s="96" t="n"/>
      <c r="Q354" s="96" t="n"/>
      <c r="R354" s="96" t="n"/>
      <c r="S354" s="96" t="n"/>
      <c r="T354" s="96" t="n"/>
      <c r="U354" s="96" t="n"/>
      <c r="V354" s="96" t="n"/>
      <c r="W354" s="96" t="n"/>
      <c r="X354" s="96" t="n"/>
      <c r="Y354" s="96" t="n"/>
      <c r="Z354" s="96" t="n"/>
      <c r="AA354" s="96" t="n"/>
      <c r="AB354" s="96" t="n"/>
      <c r="AC354" s="96" t="n"/>
      <c r="AD354" s="96" t="n"/>
      <c r="AE354" s="96" t="n"/>
      <c r="AF354" s="96" t="n"/>
      <c r="AG354" s="96" t="n"/>
      <c r="AH354" s="96" t="n"/>
      <c r="AI354" s="96" t="n"/>
      <c r="AJ354" s="96" t="n"/>
      <c r="AK354" s="96" t="n"/>
      <c r="AL354" s="96" t="n"/>
      <c r="AM354" s="96" t="n"/>
      <c r="AN354" s="96" t="n"/>
      <c r="AO354" s="96" t="n"/>
      <c r="AP354" s="96" t="n"/>
      <c r="AQ354" s="96" t="n"/>
      <c r="AR354" s="96" t="n"/>
      <c r="AS354" s="96" t="n"/>
      <c r="AT354" s="96" t="n"/>
      <c r="AU354" s="96" t="n"/>
      <c r="AV354" s="96" t="n"/>
      <c r="AW354" s="96" t="n"/>
      <c r="AX354" s="96" t="n"/>
      <c r="AY354" s="96" t="n"/>
      <c r="AZ354" s="96" t="n"/>
      <c r="BA354" s="96" t="n"/>
      <c r="BB354" s="96" t="n"/>
    </row>
    <row r="355" ht="22" customHeight="1" s="110">
      <c r="A355" s="97" t="n"/>
      <c r="B355" s="97" t="n"/>
      <c r="C355" s="97" t="n"/>
      <c r="D355" s="97" t="n"/>
      <c r="E355" s="97" t="n"/>
      <c r="F355" s="97" t="n"/>
      <c r="G355" s="97" t="n"/>
      <c r="H355" s="97" t="n"/>
      <c r="I355" s="97" t="n"/>
      <c r="J355" s="97" t="n"/>
      <c r="L355" s="97" t="n"/>
      <c r="M355" s="97" t="n"/>
      <c r="N355" s="97" t="n"/>
      <c r="O355" s="97" t="n"/>
      <c r="Q355" s="97" t="n"/>
      <c r="R355" s="97" t="n"/>
      <c r="S355" s="97" t="n"/>
      <c r="T355" s="97" t="n"/>
      <c r="U355" s="97" t="n"/>
      <c r="V355" s="97" t="n"/>
      <c r="W355" s="97" t="n"/>
      <c r="X355" s="97" t="n"/>
      <c r="Y355" s="97" t="n"/>
      <c r="Z355" s="97" t="n"/>
      <c r="AA355" s="97" t="n"/>
      <c r="AB355" s="97" t="n"/>
      <c r="AC355" s="97" t="n"/>
      <c r="AD355" s="97" t="n"/>
      <c r="AE355" s="97" t="n"/>
      <c r="AF355" s="97" t="n"/>
      <c r="AG355" s="97" t="n"/>
      <c r="AH355" s="97" t="n"/>
      <c r="AI355" s="97" t="n"/>
      <c r="AJ355" s="97" t="n"/>
      <c r="AK355" s="97" t="n"/>
      <c r="AL355" s="97" t="n"/>
      <c r="AM355" s="97" t="n"/>
      <c r="AN355" s="97" t="n"/>
      <c r="AO355" s="97" t="n"/>
      <c r="AP355" s="97" t="n"/>
      <c r="AQ355" s="97" t="n"/>
      <c r="AR355" s="97" t="n"/>
      <c r="AS355" s="97" t="n"/>
      <c r="AT355" s="97" t="n"/>
      <c r="AU355" s="97" t="n"/>
      <c r="AV355" s="97" t="n"/>
      <c r="AW355" s="97" t="n"/>
      <c r="AX355" s="97" t="n"/>
      <c r="AY355" s="97" t="n"/>
      <c r="AZ355" s="97" t="n"/>
      <c r="BA355" s="97" t="n"/>
      <c r="BB355" s="97" t="n"/>
    </row>
    <row r="356" ht="22" customHeight="1" s="110">
      <c r="A356" s="96" t="n"/>
      <c r="B356" s="96" t="n"/>
      <c r="C356" s="96" t="n"/>
      <c r="D356" s="96" t="n"/>
      <c r="E356" s="96" t="n"/>
      <c r="F356" s="96" t="n"/>
      <c r="G356" s="96" t="n"/>
      <c r="H356" s="96" t="n"/>
      <c r="I356" s="96" t="n"/>
      <c r="J356" s="96" t="n"/>
      <c r="L356" s="96" t="n"/>
      <c r="M356" s="96" t="n"/>
      <c r="N356" s="96" t="n"/>
      <c r="O356" s="96" t="n"/>
      <c r="Q356" s="96" t="n"/>
      <c r="R356" s="96" t="n"/>
      <c r="S356" s="96" t="n"/>
      <c r="T356" s="96" t="n"/>
      <c r="U356" s="96" t="n"/>
      <c r="V356" s="96" t="n"/>
      <c r="W356" s="96" t="n"/>
      <c r="X356" s="96" t="n"/>
      <c r="Y356" s="96" t="n"/>
      <c r="Z356" s="96" t="n"/>
      <c r="AA356" s="96" t="n"/>
      <c r="AB356" s="96" t="n"/>
      <c r="AC356" s="96" t="n"/>
      <c r="AD356" s="96" t="n"/>
      <c r="AE356" s="96" t="n"/>
      <c r="AF356" s="96" t="n"/>
      <c r="AG356" s="96" t="n"/>
      <c r="AH356" s="96" t="n"/>
      <c r="AI356" s="96" t="n"/>
      <c r="AJ356" s="96" t="n"/>
      <c r="AK356" s="96" t="n"/>
      <c r="AL356" s="96" t="n"/>
      <c r="AM356" s="96" t="n"/>
      <c r="AN356" s="96" t="n"/>
      <c r="AO356" s="96" t="n"/>
      <c r="AP356" s="96" t="n"/>
      <c r="AQ356" s="96" t="n"/>
      <c r="AR356" s="96" t="n"/>
      <c r="AS356" s="96" t="n"/>
      <c r="AT356" s="96" t="n"/>
      <c r="AU356" s="96" t="n"/>
      <c r="AV356" s="96" t="n"/>
      <c r="AW356" s="96" t="n"/>
      <c r="AX356" s="96" t="n"/>
      <c r="AY356" s="96" t="n"/>
      <c r="AZ356" s="96" t="n"/>
      <c r="BA356" s="96" t="n"/>
      <c r="BB356" s="96" t="n"/>
    </row>
    <row r="357" ht="22" customHeight="1" s="110">
      <c r="A357" s="97" t="n"/>
      <c r="B357" s="97" t="n"/>
      <c r="C357" s="97" t="n"/>
      <c r="D357" s="97" t="n"/>
      <c r="E357" s="97" t="n"/>
      <c r="F357" s="97" t="n"/>
      <c r="G357" s="97" t="n"/>
      <c r="H357" s="97" t="n"/>
      <c r="I357" s="97" t="n"/>
      <c r="J357" s="97" t="n"/>
      <c r="L357" s="97" t="n"/>
      <c r="M357" s="97" t="n"/>
      <c r="N357" s="97" t="n"/>
      <c r="O357" s="97" t="n"/>
      <c r="Q357" s="97" t="n"/>
      <c r="R357" s="97" t="n"/>
      <c r="S357" s="97" t="n"/>
      <c r="T357" s="97" t="n"/>
      <c r="U357" s="97" t="n"/>
      <c r="V357" s="97" t="n"/>
      <c r="W357" s="97" t="n"/>
      <c r="X357" s="97" t="n"/>
      <c r="Y357" s="97" t="n"/>
      <c r="Z357" s="97" t="n"/>
      <c r="AA357" s="97" t="n"/>
      <c r="AB357" s="97" t="n"/>
      <c r="AC357" s="97" t="n"/>
      <c r="AD357" s="97" t="n"/>
      <c r="AE357" s="97" t="n"/>
      <c r="AF357" s="97" t="n"/>
      <c r="AG357" s="97" t="n"/>
      <c r="AH357" s="97" t="n"/>
      <c r="AI357" s="97" t="n"/>
      <c r="AJ357" s="97" t="n"/>
      <c r="AK357" s="97" t="n"/>
      <c r="AL357" s="97" t="n"/>
      <c r="AM357" s="97" t="n"/>
      <c r="AN357" s="97" t="n"/>
      <c r="AO357" s="97" t="n"/>
      <c r="AP357" s="97" t="n"/>
      <c r="AQ357" s="97" t="n"/>
      <c r="AR357" s="97" t="n"/>
      <c r="AS357" s="97" t="n"/>
      <c r="AT357" s="97" t="n"/>
      <c r="AU357" s="97" t="n"/>
      <c r="AV357" s="97" t="n"/>
      <c r="AW357" s="97" t="n"/>
      <c r="AX357" s="97" t="n"/>
      <c r="AY357" s="97" t="n"/>
      <c r="AZ357" s="97" t="n"/>
      <c r="BA357" s="97" t="n"/>
      <c r="BB357" s="97" t="n"/>
    </row>
    <row r="358" ht="22" customHeight="1" s="110">
      <c r="A358" s="96" t="n"/>
      <c r="B358" s="96" t="n"/>
      <c r="C358" s="96" t="n"/>
      <c r="D358" s="96" t="n"/>
      <c r="E358" s="96" t="n"/>
      <c r="F358" s="96" t="n"/>
      <c r="G358" s="96" t="n"/>
      <c r="H358" s="96" t="n"/>
      <c r="I358" s="96" t="n"/>
      <c r="J358" s="96" t="n"/>
      <c r="L358" s="96" t="n"/>
      <c r="M358" s="96" t="n"/>
      <c r="N358" s="96" t="n"/>
      <c r="O358" s="96" t="n"/>
      <c r="Q358" s="96" t="n"/>
      <c r="R358" s="96" t="n"/>
      <c r="S358" s="96" t="n"/>
      <c r="T358" s="96" t="n"/>
      <c r="U358" s="96" t="n"/>
      <c r="V358" s="96" t="n"/>
      <c r="W358" s="96" t="n"/>
      <c r="X358" s="96" t="n"/>
      <c r="Y358" s="96" t="n"/>
      <c r="Z358" s="96" t="n"/>
      <c r="AA358" s="96" t="n"/>
      <c r="AB358" s="96" t="n"/>
      <c r="AC358" s="96" t="n"/>
      <c r="AD358" s="96" t="n"/>
      <c r="AE358" s="96" t="n"/>
      <c r="AF358" s="96" t="n"/>
      <c r="AG358" s="96" t="n"/>
      <c r="AH358" s="96" t="n"/>
      <c r="AI358" s="96" t="n"/>
      <c r="AJ358" s="96" t="n"/>
      <c r="AK358" s="96" t="n"/>
      <c r="AL358" s="96" t="n"/>
      <c r="AM358" s="96" t="n"/>
      <c r="AN358" s="96" t="n"/>
      <c r="AO358" s="96" t="n"/>
      <c r="AP358" s="96" t="n"/>
      <c r="AQ358" s="96" t="n"/>
      <c r="AR358" s="96" t="n"/>
      <c r="AS358" s="96" t="n"/>
      <c r="AT358" s="96" t="n"/>
      <c r="AU358" s="96" t="n"/>
      <c r="AV358" s="96" t="n"/>
      <c r="AW358" s="96" t="n"/>
      <c r="AX358" s="96" t="n"/>
      <c r="AY358" s="96" t="n"/>
      <c r="AZ358" s="96" t="n"/>
      <c r="BA358" s="96" t="n"/>
      <c r="BB358" s="96" t="n"/>
    </row>
    <row r="359" ht="22" customHeight="1" s="110">
      <c r="A359" s="97" t="n"/>
      <c r="B359" s="97" t="n"/>
      <c r="C359" s="97" t="n"/>
      <c r="D359" s="97" t="n"/>
      <c r="E359" s="97" t="n"/>
      <c r="F359" s="97" t="n"/>
      <c r="G359" s="97" t="n"/>
      <c r="H359" s="97" t="n"/>
      <c r="I359" s="97" t="n"/>
      <c r="J359" s="97" t="n"/>
      <c r="L359" s="97" t="n"/>
      <c r="M359" s="97" t="n"/>
      <c r="N359" s="97" t="n"/>
      <c r="O359" s="97" t="n"/>
      <c r="Q359" s="97" t="n"/>
      <c r="R359" s="97" t="n"/>
      <c r="S359" s="97" t="n"/>
      <c r="T359" s="97" t="n"/>
      <c r="U359" s="97" t="n"/>
      <c r="V359" s="97" t="n"/>
      <c r="W359" s="97" t="n"/>
      <c r="X359" s="97" t="n"/>
      <c r="Y359" s="97" t="n"/>
      <c r="Z359" s="97" t="n"/>
      <c r="AA359" s="97" t="n"/>
      <c r="AB359" s="97" t="n"/>
      <c r="AC359" s="97" t="n"/>
      <c r="AD359" s="97" t="n"/>
      <c r="AE359" s="97" t="n"/>
      <c r="AF359" s="97" t="n"/>
      <c r="AG359" s="97" t="n"/>
      <c r="AH359" s="97" t="n"/>
      <c r="AI359" s="97" t="n"/>
      <c r="AJ359" s="97" t="n"/>
      <c r="AK359" s="97" t="n"/>
      <c r="AL359" s="97" t="n"/>
      <c r="AM359" s="97" t="n"/>
      <c r="AN359" s="97" t="n"/>
      <c r="AO359" s="97" t="n"/>
      <c r="AP359" s="97" t="n"/>
      <c r="AQ359" s="97" t="n"/>
      <c r="AR359" s="97" t="n"/>
      <c r="AS359" s="97" t="n"/>
      <c r="AT359" s="97" t="n"/>
      <c r="AU359" s="97" t="n"/>
      <c r="AV359" s="97" t="n"/>
      <c r="AW359" s="97" t="n"/>
      <c r="AX359" s="97" t="n"/>
      <c r="AY359" s="97" t="n"/>
      <c r="AZ359" s="97" t="n"/>
      <c r="BA359" s="97" t="n"/>
      <c r="BB359" s="97" t="n"/>
    </row>
    <row r="360" ht="22" customHeight="1" s="110">
      <c r="A360" s="96" t="n"/>
      <c r="B360" s="96" t="n"/>
      <c r="C360" s="96" t="n"/>
      <c r="D360" s="96" t="n"/>
      <c r="E360" s="96" t="n"/>
      <c r="F360" s="96" t="n"/>
      <c r="G360" s="96" t="n"/>
      <c r="H360" s="96" t="n"/>
      <c r="I360" s="96" t="n"/>
      <c r="J360" s="96" t="n"/>
      <c r="L360" s="96" t="n"/>
      <c r="M360" s="96" t="n"/>
      <c r="N360" s="96" t="n"/>
      <c r="O360" s="96" t="n"/>
      <c r="Q360" s="96" t="n"/>
      <c r="R360" s="96" t="n"/>
      <c r="S360" s="96" t="n"/>
      <c r="T360" s="96" t="n"/>
      <c r="U360" s="96" t="n"/>
      <c r="V360" s="96" t="n"/>
      <c r="W360" s="96" t="n"/>
      <c r="X360" s="96" t="n"/>
      <c r="Y360" s="96" t="n"/>
      <c r="Z360" s="96" t="n"/>
      <c r="AA360" s="96" t="n"/>
      <c r="AB360" s="96" t="n"/>
      <c r="AC360" s="96" t="n"/>
      <c r="AD360" s="96" t="n"/>
      <c r="AE360" s="96" t="n"/>
      <c r="AF360" s="96" t="n"/>
      <c r="AG360" s="96" t="n"/>
      <c r="AH360" s="96" t="n"/>
      <c r="AI360" s="96" t="n"/>
      <c r="AJ360" s="96" t="n"/>
      <c r="AK360" s="96" t="n"/>
      <c r="AL360" s="96" t="n"/>
      <c r="AM360" s="96" t="n"/>
      <c r="AN360" s="96" t="n"/>
      <c r="AO360" s="96" t="n"/>
      <c r="AP360" s="96" t="n"/>
      <c r="AQ360" s="96" t="n"/>
      <c r="AR360" s="96" t="n"/>
      <c r="AS360" s="96" t="n"/>
      <c r="AT360" s="96" t="n"/>
      <c r="AU360" s="96" t="n"/>
      <c r="AV360" s="96" t="n"/>
      <c r="AW360" s="96" t="n"/>
      <c r="AX360" s="96" t="n"/>
      <c r="AY360" s="96" t="n"/>
      <c r="AZ360" s="96" t="n"/>
      <c r="BA360" s="96" t="n"/>
      <c r="BB360" s="96" t="n"/>
    </row>
    <row r="361" ht="22" customHeight="1" s="110">
      <c r="A361" s="97" t="n"/>
      <c r="B361" s="97" t="n"/>
      <c r="C361" s="97" t="n"/>
      <c r="D361" s="97" t="n"/>
      <c r="E361" s="97" t="n"/>
      <c r="F361" s="97" t="n"/>
      <c r="G361" s="97" t="n"/>
      <c r="H361" s="97" t="n"/>
      <c r="I361" s="97" t="n"/>
      <c r="J361" s="97" t="n"/>
      <c r="L361" s="97" t="n"/>
      <c r="M361" s="97" t="n"/>
      <c r="N361" s="97" t="n"/>
      <c r="O361" s="97" t="n"/>
      <c r="Q361" s="97" t="n"/>
      <c r="R361" s="97" t="n"/>
      <c r="S361" s="97" t="n"/>
      <c r="T361" s="97" t="n"/>
      <c r="U361" s="97" t="n"/>
      <c r="V361" s="97" t="n"/>
      <c r="W361" s="97" t="n"/>
      <c r="X361" s="97" t="n"/>
      <c r="Y361" s="97" t="n"/>
      <c r="Z361" s="97" t="n"/>
      <c r="AA361" s="97" t="n"/>
      <c r="AB361" s="97" t="n"/>
      <c r="AC361" s="97" t="n"/>
      <c r="AD361" s="97" t="n"/>
      <c r="AE361" s="97" t="n"/>
      <c r="AF361" s="97" t="n"/>
      <c r="AG361" s="97" t="n"/>
      <c r="AH361" s="97" t="n"/>
      <c r="AI361" s="97" t="n"/>
      <c r="AJ361" s="97" t="n"/>
      <c r="AK361" s="97" t="n"/>
      <c r="AL361" s="97" t="n"/>
      <c r="AM361" s="97" t="n"/>
      <c r="AN361" s="97" t="n"/>
      <c r="AO361" s="97" t="n"/>
      <c r="AP361" s="97" t="n"/>
      <c r="AQ361" s="97" t="n"/>
      <c r="AR361" s="97" t="n"/>
      <c r="AS361" s="97" t="n"/>
      <c r="AT361" s="97" t="n"/>
      <c r="AU361" s="97" t="n"/>
      <c r="AV361" s="97" t="n"/>
      <c r="AW361" s="97" t="n"/>
      <c r="AX361" s="97" t="n"/>
      <c r="AY361" s="97" t="n"/>
      <c r="AZ361" s="97" t="n"/>
      <c r="BA361" s="97" t="n"/>
      <c r="BB361" s="97" t="n"/>
    </row>
    <row r="362" ht="22" customHeight="1" s="110">
      <c r="A362" s="96" t="n"/>
      <c r="B362" s="96" t="n"/>
      <c r="C362" s="96" t="n"/>
      <c r="D362" s="96" t="n"/>
      <c r="E362" s="96" t="n"/>
      <c r="F362" s="96" t="n"/>
      <c r="G362" s="96" t="n"/>
      <c r="H362" s="96" t="n"/>
      <c r="I362" s="96" t="n"/>
      <c r="J362" s="96" t="n"/>
      <c r="L362" s="96" t="n"/>
      <c r="M362" s="96" t="n"/>
      <c r="N362" s="96" t="n"/>
      <c r="O362" s="96" t="n"/>
      <c r="Q362" s="96" t="n"/>
      <c r="R362" s="96" t="n"/>
      <c r="S362" s="96" t="n"/>
      <c r="T362" s="96" t="n"/>
      <c r="U362" s="96" t="n"/>
      <c r="V362" s="96" t="n"/>
      <c r="W362" s="96" t="n"/>
      <c r="X362" s="96" t="n"/>
      <c r="Y362" s="96" t="n"/>
      <c r="Z362" s="96" t="n"/>
      <c r="AA362" s="96" t="n"/>
      <c r="AB362" s="96" t="n"/>
      <c r="AC362" s="96" t="n"/>
      <c r="AD362" s="96" t="n"/>
      <c r="AE362" s="96" t="n"/>
      <c r="AF362" s="96" t="n"/>
      <c r="AG362" s="96" t="n"/>
      <c r="AH362" s="96" t="n"/>
      <c r="AI362" s="96" t="n"/>
      <c r="AJ362" s="96" t="n"/>
      <c r="AK362" s="96" t="n"/>
      <c r="AL362" s="96" t="n"/>
      <c r="AM362" s="96" t="n"/>
      <c r="AN362" s="96" t="n"/>
      <c r="AO362" s="96" t="n"/>
      <c r="AP362" s="96" t="n"/>
      <c r="AQ362" s="96" t="n"/>
      <c r="AR362" s="96" t="n"/>
      <c r="AS362" s="96" t="n"/>
      <c r="AT362" s="96" t="n"/>
      <c r="AU362" s="96" t="n"/>
      <c r="AV362" s="96" t="n"/>
      <c r="AW362" s="96" t="n"/>
      <c r="AX362" s="96" t="n"/>
      <c r="AY362" s="96" t="n"/>
      <c r="AZ362" s="96" t="n"/>
      <c r="BA362" s="96" t="n"/>
      <c r="BB362" s="96" t="n"/>
    </row>
    <row r="363" ht="22" customHeight="1" s="110">
      <c r="A363" s="97" t="n"/>
      <c r="B363" s="97" t="n"/>
      <c r="C363" s="97" t="n"/>
      <c r="D363" s="97" t="n"/>
      <c r="E363" s="97" t="n"/>
      <c r="F363" s="97" t="n"/>
      <c r="G363" s="97" t="n"/>
      <c r="H363" s="97" t="n"/>
      <c r="I363" s="97" t="n"/>
      <c r="J363" s="97" t="n"/>
      <c r="L363" s="97" t="n"/>
      <c r="M363" s="97" t="n"/>
      <c r="N363" s="97" t="n"/>
      <c r="O363" s="97" t="n"/>
      <c r="Q363" s="97" t="n"/>
      <c r="R363" s="97" t="n"/>
      <c r="S363" s="97" t="n"/>
      <c r="T363" s="97" t="n"/>
      <c r="U363" s="97" t="n"/>
      <c r="V363" s="97" t="n"/>
      <c r="W363" s="97" t="n"/>
      <c r="X363" s="97" t="n"/>
      <c r="Y363" s="97" t="n"/>
      <c r="Z363" s="97" t="n"/>
      <c r="AA363" s="97" t="n"/>
      <c r="AB363" s="97" t="n"/>
      <c r="AC363" s="97" t="n"/>
      <c r="AD363" s="97" t="n"/>
      <c r="AE363" s="97" t="n"/>
      <c r="AF363" s="97" t="n"/>
      <c r="AG363" s="97" t="n"/>
      <c r="AH363" s="97" t="n"/>
      <c r="AI363" s="97" t="n"/>
      <c r="AJ363" s="97" t="n"/>
      <c r="AK363" s="97" t="n"/>
      <c r="AL363" s="97" t="n"/>
      <c r="AM363" s="97" t="n"/>
      <c r="AN363" s="97" t="n"/>
      <c r="AO363" s="97" t="n"/>
      <c r="AP363" s="97" t="n"/>
      <c r="AQ363" s="97" t="n"/>
      <c r="AR363" s="97" t="n"/>
      <c r="AS363" s="97" t="n"/>
      <c r="AT363" s="97" t="n"/>
      <c r="AU363" s="97" t="n"/>
      <c r="AV363" s="97" t="n"/>
      <c r="AW363" s="97" t="n"/>
      <c r="AX363" s="97" t="n"/>
      <c r="AY363" s="97" t="n"/>
      <c r="AZ363" s="97" t="n"/>
      <c r="BA363" s="97" t="n"/>
      <c r="BB363" s="97" t="n"/>
    </row>
    <row r="364" ht="22" customHeight="1" s="110">
      <c r="A364" s="96" t="n"/>
      <c r="B364" s="96" t="n"/>
      <c r="C364" s="96" t="n"/>
      <c r="D364" s="96" t="n"/>
      <c r="E364" s="96" t="n"/>
      <c r="F364" s="96" t="n"/>
      <c r="G364" s="96" t="n"/>
      <c r="H364" s="96" t="n"/>
      <c r="I364" s="96" t="n"/>
      <c r="J364" s="96" t="n"/>
      <c r="L364" s="96" t="n"/>
      <c r="M364" s="96" t="n"/>
      <c r="N364" s="96" t="n"/>
      <c r="O364" s="96" t="n"/>
      <c r="Q364" s="96" t="n"/>
      <c r="R364" s="96" t="n"/>
      <c r="S364" s="96" t="n"/>
      <c r="T364" s="96" t="n"/>
      <c r="U364" s="96" t="n"/>
      <c r="V364" s="96" t="n"/>
      <c r="W364" s="96" t="n"/>
      <c r="X364" s="96" t="n"/>
      <c r="Y364" s="96" t="n"/>
      <c r="Z364" s="96" t="n"/>
      <c r="AA364" s="96" t="n"/>
      <c r="AB364" s="96" t="n"/>
      <c r="AC364" s="96" t="n"/>
      <c r="AD364" s="96" t="n"/>
      <c r="AE364" s="96" t="n"/>
      <c r="AF364" s="96" t="n"/>
      <c r="AG364" s="96" t="n"/>
      <c r="AH364" s="96" t="n"/>
      <c r="AI364" s="96" t="n"/>
      <c r="AJ364" s="96" t="n"/>
      <c r="AK364" s="96" t="n"/>
      <c r="AL364" s="96" t="n"/>
      <c r="AM364" s="96" t="n"/>
      <c r="AN364" s="96" t="n"/>
      <c r="AO364" s="96" t="n"/>
      <c r="AP364" s="96" t="n"/>
      <c r="AQ364" s="96" t="n"/>
      <c r="AR364" s="96" t="n"/>
      <c r="AS364" s="96" t="n"/>
      <c r="AT364" s="96" t="n"/>
      <c r="AU364" s="96" t="n"/>
      <c r="AV364" s="96" t="n"/>
      <c r="AW364" s="96" t="n"/>
      <c r="AX364" s="96" t="n"/>
      <c r="AY364" s="96" t="n"/>
      <c r="AZ364" s="96" t="n"/>
      <c r="BA364" s="96" t="n"/>
      <c r="BB364" s="96" t="n"/>
    </row>
    <row r="365" ht="22" customHeight="1" s="110">
      <c r="A365" s="97" t="n"/>
      <c r="B365" s="97" t="n"/>
      <c r="C365" s="97" t="n"/>
      <c r="D365" s="97" t="n"/>
      <c r="E365" s="97" t="n"/>
      <c r="F365" s="97" t="n"/>
      <c r="G365" s="97" t="n"/>
      <c r="H365" s="97" t="n"/>
      <c r="I365" s="97" t="n"/>
      <c r="J365" s="97" t="n"/>
      <c r="L365" s="97" t="n"/>
      <c r="M365" s="97" t="n"/>
      <c r="N365" s="97" t="n"/>
      <c r="O365" s="97" t="n"/>
      <c r="Q365" s="97" t="n"/>
      <c r="R365" s="97" t="n"/>
      <c r="S365" s="97" t="n"/>
      <c r="T365" s="97" t="n"/>
      <c r="U365" s="97" t="n"/>
      <c r="V365" s="97" t="n"/>
      <c r="W365" s="97" t="n"/>
      <c r="X365" s="97" t="n"/>
      <c r="Y365" s="97" t="n"/>
      <c r="Z365" s="97" t="n"/>
      <c r="AA365" s="97" t="n"/>
      <c r="AB365" s="97" t="n"/>
      <c r="AC365" s="97" t="n"/>
      <c r="AD365" s="97" t="n"/>
      <c r="AE365" s="97" t="n"/>
      <c r="AF365" s="97" t="n"/>
      <c r="AG365" s="97" t="n"/>
      <c r="AH365" s="97" t="n"/>
      <c r="AI365" s="97" t="n"/>
      <c r="AJ365" s="97" t="n"/>
      <c r="AK365" s="97" t="n"/>
      <c r="AL365" s="97" t="n"/>
      <c r="AM365" s="97" t="n"/>
      <c r="AN365" s="97" t="n"/>
      <c r="AO365" s="97" t="n"/>
      <c r="AP365" s="97" t="n"/>
      <c r="AQ365" s="97" t="n"/>
      <c r="AR365" s="97" t="n"/>
      <c r="AS365" s="97" t="n"/>
      <c r="AT365" s="97" t="n"/>
      <c r="AU365" s="97" t="n"/>
      <c r="AV365" s="97" t="n"/>
      <c r="AW365" s="97" t="n"/>
      <c r="AX365" s="97" t="n"/>
      <c r="AY365" s="97" t="n"/>
      <c r="AZ365" s="97" t="n"/>
      <c r="BA365" s="97" t="n"/>
      <c r="BB365" s="97" t="n"/>
    </row>
    <row r="366" ht="22" customHeight="1" s="110">
      <c r="A366" s="96" t="n"/>
      <c r="B366" s="96" t="n"/>
      <c r="C366" s="96" t="n"/>
      <c r="D366" s="96" t="n"/>
      <c r="E366" s="96" t="n"/>
      <c r="F366" s="96" t="n"/>
      <c r="G366" s="96" t="n"/>
      <c r="H366" s="96" t="n"/>
      <c r="I366" s="96" t="n"/>
      <c r="J366" s="96" t="n"/>
      <c r="L366" s="96" t="n"/>
      <c r="M366" s="96" t="n"/>
      <c r="N366" s="96" t="n"/>
      <c r="O366" s="96" t="n"/>
      <c r="Q366" s="96" t="n"/>
      <c r="R366" s="96" t="n"/>
      <c r="S366" s="96" t="n"/>
      <c r="T366" s="96" t="n"/>
      <c r="U366" s="96" t="n"/>
      <c r="V366" s="96" t="n"/>
      <c r="W366" s="96" t="n"/>
      <c r="X366" s="96" t="n"/>
      <c r="Y366" s="96" t="n"/>
      <c r="Z366" s="96" t="n"/>
      <c r="AA366" s="96" t="n"/>
      <c r="AB366" s="96" t="n"/>
      <c r="AC366" s="96" t="n"/>
      <c r="AD366" s="96" t="n"/>
      <c r="AE366" s="96" t="n"/>
      <c r="AF366" s="96" t="n"/>
      <c r="AG366" s="96" t="n"/>
      <c r="AH366" s="96" t="n"/>
      <c r="AI366" s="96" t="n"/>
      <c r="AJ366" s="96" t="n"/>
      <c r="AK366" s="96" t="n"/>
      <c r="AL366" s="96" t="n"/>
      <c r="AM366" s="96" t="n"/>
      <c r="AN366" s="96" t="n"/>
      <c r="AO366" s="96" t="n"/>
      <c r="AP366" s="96" t="n"/>
      <c r="AQ366" s="96" t="n"/>
      <c r="AR366" s="96" t="n"/>
      <c r="AS366" s="96" t="n"/>
      <c r="AT366" s="96" t="n"/>
      <c r="AU366" s="96" t="n"/>
      <c r="AV366" s="96" t="n"/>
      <c r="AW366" s="96" t="n"/>
      <c r="AX366" s="96" t="n"/>
      <c r="AY366" s="96" t="n"/>
      <c r="AZ366" s="96" t="n"/>
      <c r="BA366" s="96" t="n"/>
      <c r="BB366" s="96" t="n"/>
    </row>
    <row r="367" ht="22" customHeight="1" s="110">
      <c r="A367" s="97" t="n"/>
      <c r="B367" s="97" t="n"/>
      <c r="C367" s="97" t="n"/>
      <c r="D367" s="97" t="n"/>
      <c r="E367" s="97" t="n"/>
      <c r="F367" s="97" t="n"/>
      <c r="G367" s="97" t="n"/>
      <c r="H367" s="97" t="n"/>
      <c r="I367" s="97" t="n"/>
      <c r="J367" s="97" t="n"/>
      <c r="L367" s="97" t="n"/>
      <c r="M367" s="97" t="n"/>
      <c r="N367" s="97" t="n"/>
      <c r="O367" s="97" t="n"/>
      <c r="Q367" s="97" t="n"/>
      <c r="R367" s="97" t="n"/>
      <c r="S367" s="97" t="n"/>
      <c r="T367" s="97" t="n"/>
      <c r="U367" s="97" t="n"/>
      <c r="V367" s="97" t="n"/>
      <c r="W367" s="97" t="n"/>
      <c r="X367" s="97" t="n"/>
      <c r="Y367" s="97" t="n"/>
      <c r="Z367" s="97" t="n"/>
      <c r="AA367" s="97" t="n"/>
      <c r="AB367" s="97" t="n"/>
      <c r="AC367" s="97" t="n"/>
      <c r="AD367" s="97" t="n"/>
      <c r="AE367" s="97" t="n"/>
      <c r="AF367" s="97" t="n"/>
      <c r="AG367" s="97" t="n"/>
      <c r="AH367" s="97" t="n"/>
      <c r="AI367" s="97" t="n"/>
      <c r="AJ367" s="97" t="n"/>
      <c r="AK367" s="97" t="n"/>
      <c r="AL367" s="97" t="n"/>
      <c r="AM367" s="97" t="n"/>
      <c r="AN367" s="97" t="n"/>
      <c r="AO367" s="97" t="n"/>
      <c r="AP367" s="97" t="n"/>
      <c r="AQ367" s="97" t="n"/>
      <c r="AR367" s="97" t="n"/>
      <c r="AS367" s="97" t="n"/>
      <c r="AT367" s="97" t="n"/>
      <c r="AU367" s="97" t="n"/>
      <c r="AV367" s="97" t="n"/>
      <c r="AW367" s="97" t="n"/>
      <c r="AX367" s="97" t="n"/>
      <c r="AY367" s="97" t="n"/>
      <c r="AZ367" s="97" t="n"/>
      <c r="BA367" s="97" t="n"/>
      <c r="BB367" s="97" t="n"/>
    </row>
    <row r="368" ht="22" customHeight="1" s="110">
      <c r="A368" s="96" t="n"/>
      <c r="B368" s="96" t="n"/>
      <c r="C368" s="96" t="n"/>
      <c r="D368" s="96" t="n"/>
      <c r="E368" s="96" t="n"/>
      <c r="F368" s="96" t="n"/>
      <c r="G368" s="96" t="n"/>
      <c r="H368" s="96" t="n"/>
      <c r="I368" s="96" t="n"/>
      <c r="J368" s="96" t="n"/>
      <c r="L368" s="96" t="n"/>
      <c r="M368" s="96" t="n"/>
      <c r="N368" s="96" t="n"/>
      <c r="O368" s="96" t="n"/>
      <c r="Q368" s="96" t="n"/>
      <c r="R368" s="96" t="n"/>
      <c r="S368" s="96" t="n"/>
      <c r="T368" s="96" t="n"/>
      <c r="U368" s="96" t="n"/>
      <c r="V368" s="96" t="n"/>
      <c r="W368" s="96" t="n"/>
      <c r="X368" s="96" t="n"/>
      <c r="Y368" s="96" t="n"/>
      <c r="Z368" s="96" t="n"/>
      <c r="AA368" s="96" t="n"/>
      <c r="AB368" s="96" t="n"/>
      <c r="AC368" s="96" t="n"/>
      <c r="AD368" s="96" t="n"/>
      <c r="AE368" s="96" t="n"/>
      <c r="AF368" s="96" t="n"/>
      <c r="AG368" s="96" t="n"/>
      <c r="AH368" s="96" t="n"/>
      <c r="AI368" s="96" t="n"/>
      <c r="AJ368" s="96" t="n"/>
      <c r="AK368" s="96" t="n"/>
      <c r="AL368" s="96" t="n"/>
      <c r="AM368" s="96" t="n"/>
      <c r="AN368" s="96" t="n"/>
      <c r="AO368" s="96" t="n"/>
      <c r="AP368" s="96" t="n"/>
      <c r="AQ368" s="96" t="n"/>
      <c r="AR368" s="96" t="n"/>
      <c r="AS368" s="96" t="n"/>
      <c r="AT368" s="96" t="n"/>
      <c r="AU368" s="96" t="n"/>
      <c r="AV368" s="96" t="n"/>
      <c r="AW368" s="96" t="n"/>
      <c r="AX368" s="96" t="n"/>
      <c r="AY368" s="96" t="n"/>
      <c r="AZ368" s="96" t="n"/>
      <c r="BA368" s="96" t="n"/>
      <c r="BB368" s="96" t="n"/>
    </row>
    <row r="369" ht="22" customHeight="1" s="110">
      <c r="A369" s="97" t="n"/>
      <c r="B369" s="97" t="n"/>
      <c r="C369" s="97" t="n"/>
      <c r="D369" s="97" t="n"/>
      <c r="E369" s="97" t="n"/>
      <c r="F369" s="97" t="n"/>
      <c r="G369" s="97" t="n"/>
      <c r="H369" s="97" t="n"/>
      <c r="I369" s="97" t="n"/>
      <c r="J369" s="97" t="n"/>
      <c r="L369" s="97" t="n"/>
      <c r="M369" s="97" t="n"/>
      <c r="N369" s="97" t="n"/>
      <c r="O369" s="97" t="n"/>
      <c r="Q369" s="97" t="n"/>
      <c r="R369" s="97" t="n"/>
      <c r="S369" s="97" t="n"/>
      <c r="T369" s="97" t="n"/>
      <c r="U369" s="97" t="n"/>
      <c r="V369" s="97" t="n"/>
      <c r="W369" s="97" t="n"/>
      <c r="X369" s="97" t="n"/>
      <c r="Y369" s="97" t="n"/>
      <c r="Z369" s="97" t="n"/>
      <c r="AA369" s="97" t="n"/>
      <c r="AB369" s="97" t="n"/>
      <c r="AC369" s="97" t="n"/>
      <c r="AD369" s="97" t="n"/>
      <c r="AE369" s="97" t="n"/>
      <c r="AF369" s="97" t="n"/>
      <c r="AG369" s="97" t="n"/>
      <c r="AH369" s="97" t="n"/>
      <c r="AI369" s="97" t="n"/>
      <c r="AJ369" s="97" t="n"/>
      <c r="AK369" s="97" t="n"/>
      <c r="AL369" s="97" t="n"/>
      <c r="AM369" s="97" t="n"/>
      <c r="AN369" s="97" t="n"/>
      <c r="AO369" s="97" t="n"/>
      <c r="AP369" s="97" t="n"/>
      <c r="AQ369" s="97" t="n"/>
      <c r="AR369" s="97" t="n"/>
      <c r="AS369" s="97" t="n"/>
      <c r="AT369" s="97" t="n"/>
      <c r="AU369" s="97" t="n"/>
      <c r="AV369" s="97" t="n"/>
      <c r="AW369" s="97" t="n"/>
      <c r="AX369" s="97" t="n"/>
      <c r="AY369" s="97" t="n"/>
      <c r="AZ369" s="97" t="n"/>
      <c r="BA369" s="97" t="n"/>
      <c r="BB369" s="97" t="n"/>
    </row>
    <row r="370" ht="22" customHeight="1" s="110">
      <c r="A370" s="96" t="n"/>
      <c r="B370" s="96" t="n"/>
      <c r="C370" s="96" t="n"/>
      <c r="D370" s="96" t="n"/>
      <c r="E370" s="96" t="n"/>
      <c r="F370" s="96" t="n"/>
      <c r="G370" s="96" t="n"/>
      <c r="H370" s="96" t="n"/>
      <c r="I370" s="96" t="n"/>
      <c r="J370" s="96" t="n"/>
      <c r="L370" s="96" t="n"/>
      <c r="M370" s="96" t="n"/>
      <c r="N370" s="96" t="n"/>
      <c r="O370" s="96" t="n"/>
      <c r="Q370" s="96" t="n"/>
      <c r="R370" s="96" t="n"/>
      <c r="S370" s="96" t="n"/>
      <c r="T370" s="96" t="n"/>
      <c r="U370" s="96" t="n"/>
      <c r="V370" s="96" t="n"/>
      <c r="W370" s="96" t="n"/>
      <c r="X370" s="96" t="n"/>
      <c r="Y370" s="96" t="n"/>
      <c r="Z370" s="96" t="n"/>
      <c r="AA370" s="96" t="n"/>
      <c r="AB370" s="96" t="n"/>
      <c r="AC370" s="96" t="n"/>
      <c r="AD370" s="96" t="n"/>
      <c r="AE370" s="96" t="n"/>
      <c r="AF370" s="96" t="n"/>
      <c r="AG370" s="96" t="n"/>
      <c r="AH370" s="96" t="n"/>
      <c r="AI370" s="96" t="n"/>
      <c r="AJ370" s="96" t="n"/>
      <c r="AK370" s="96" t="n"/>
      <c r="AL370" s="96" t="n"/>
      <c r="AM370" s="96" t="n"/>
      <c r="AN370" s="96" t="n"/>
      <c r="AO370" s="96" t="n"/>
      <c r="AP370" s="96" t="n"/>
      <c r="AQ370" s="96" t="n"/>
      <c r="AR370" s="96" t="n"/>
      <c r="AS370" s="96" t="n"/>
      <c r="AT370" s="96" t="n"/>
      <c r="AU370" s="96" t="n"/>
      <c r="AV370" s="96" t="n"/>
      <c r="AW370" s="96" t="n"/>
      <c r="AX370" s="96" t="n"/>
      <c r="AY370" s="96" t="n"/>
      <c r="AZ370" s="96" t="n"/>
      <c r="BA370" s="96" t="n"/>
      <c r="BB370" s="96" t="n"/>
    </row>
    <row r="371" ht="22" customHeight="1" s="110">
      <c r="A371" s="97" t="n"/>
      <c r="B371" s="97" t="n"/>
      <c r="C371" s="97" t="n"/>
      <c r="D371" s="97" t="n"/>
      <c r="E371" s="97" t="n"/>
      <c r="F371" s="97" t="n"/>
      <c r="G371" s="97" t="n"/>
      <c r="H371" s="97" t="n"/>
      <c r="I371" s="97" t="n"/>
      <c r="J371" s="97" t="n"/>
      <c r="L371" s="97" t="n"/>
      <c r="M371" s="97" t="n"/>
      <c r="N371" s="97" t="n"/>
      <c r="O371" s="97" t="n"/>
      <c r="Q371" s="97" t="n"/>
      <c r="R371" s="97" t="n"/>
      <c r="S371" s="97" t="n"/>
      <c r="T371" s="97" t="n"/>
      <c r="U371" s="97" t="n"/>
      <c r="V371" s="97" t="n"/>
      <c r="W371" s="97" t="n"/>
      <c r="X371" s="97" t="n"/>
      <c r="Y371" s="97" t="n"/>
      <c r="Z371" s="97" t="n"/>
      <c r="AA371" s="97" t="n"/>
      <c r="AB371" s="97" t="n"/>
      <c r="AC371" s="97" t="n"/>
      <c r="AD371" s="97" t="n"/>
      <c r="AE371" s="97" t="n"/>
      <c r="AF371" s="97" t="n"/>
      <c r="AG371" s="97" t="n"/>
      <c r="AH371" s="97" t="n"/>
      <c r="AI371" s="97" t="n"/>
      <c r="AJ371" s="97" t="n"/>
      <c r="AK371" s="97" t="n"/>
      <c r="AL371" s="97" t="n"/>
      <c r="AM371" s="97" t="n"/>
      <c r="AN371" s="97" t="n"/>
      <c r="AO371" s="97" t="n"/>
      <c r="AP371" s="97" t="n"/>
      <c r="AQ371" s="97" t="n"/>
      <c r="AR371" s="97" t="n"/>
      <c r="AS371" s="97" t="n"/>
      <c r="AT371" s="97" t="n"/>
      <c r="AU371" s="97" t="n"/>
      <c r="AV371" s="97" t="n"/>
      <c r="AW371" s="97" t="n"/>
      <c r="AX371" s="97" t="n"/>
      <c r="AY371" s="97" t="n"/>
      <c r="AZ371" s="97" t="n"/>
      <c r="BA371" s="97" t="n"/>
      <c r="BB371" s="97" t="n"/>
    </row>
    <row r="372" ht="22" customHeight="1" s="110">
      <c r="A372" s="96" t="n"/>
      <c r="B372" s="96" t="n"/>
      <c r="C372" s="96" t="n"/>
      <c r="D372" s="96" t="n"/>
      <c r="E372" s="96" t="n"/>
      <c r="F372" s="96" t="n"/>
      <c r="G372" s="96" t="n"/>
      <c r="H372" s="96" t="n"/>
      <c r="I372" s="96" t="n"/>
      <c r="J372" s="96" t="n"/>
      <c r="L372" s="96" t="n"/>
      <c r="M372" s="96" t="n"/>
      <c r="N372" s="96" t="n"/>
      <c r="O372" s="96" t="n"/>
      <c r="Q372" s="96" t="n"/>
      <c r="R372" s="96" t="n"/>
      <c r="S372" s="96" t="n"/>
      <c r="T372" s="96" t="n"/>
      <c r="U372" s="96" t="n"/>
      <c r="V372" s="96" t="n"/>
      <c r="W372" s="96" t="n"/>
      <c r="X372" s="96" t="n"/>
      <c r="Y372" s="96" t="n"/>
      <c r="Z372" s="96" t="n"/>
      <c r="AA372" s="96" t="n"/>
      <c r="AB372" s="96" t="n"/>
      <c r="AC372" s="96" t="n"/>
      <c r="AD372" s="96" t="n"/>
      <c r="AE372" s="96" t="n"/>
      <c r="AF372" s="96" t="n"/>
      <c r="AG372" s="96" t="n"/>
      <c r="AH372" s="96" t="n"/>
      <c r="AI372" s="96" t="n"/>
      <c r="AJ372" s="96" t="n"/>
      <c r="AK372" s="96" t="n"/>
      <c r="AL372" s="96" t="n"/>
      <c r="AM372" s="96" t="n"/>
      <c r="AN372" s="96" t="n"/>
      <c r="AO372" s="96" t="n"/>
      <c r="AP372" s="96" t="n"/>
      <c r="AQ372" s="96" t="n"/>
      <c r="AR372" s="96" t="n"/>
      <c r="AS372" s="96" t="n"/>
      <c r="AT372" s="96" t="n"/>
      <c r="AU372" s="96" t="n"/>
      <c r="AV372" s="96" t="n"/>
      <c r="AW372" s="96" t="n"/>
      <c r="AX372" s="96" t="n"/>
      <c r="AY372" s="96" t="n"/>
      <c r="AZ372" s="96" t="n"/>
      <c r="BA372" s="96" t="n"/>
      <c r="BB372" s="96" t="n"/>
    </row>
    <row r="373" ht="22" customHeight="1" s="110">
      <c r="A373" s="97" t="n"/>
      <c r="B373" s="97" t="n"/>
      <c r="C373" s="97" t="n"/>
      <c r="D373" s="97" t="n"/>
      <c r="E373" s="97" t="n"/>
      <c r="F373" s="97" t="n"/>
      <c r="G373" s="97" t="n"/>
      <c r="H373" s="97" t="n"/>
      <c r="I373" s="97" t="n"/>
      <c r="J373" s="97" t="n"/>
      <c r="L373" s="97" t="n"/>
      <c r="M373" s="97" t="n"/>
      <c r="N373" s="97" t="n"/>
      <c r="O373" s="97" t="n"/>
      <c r="Q373" s="97" t="n"/>
      <c r="R373" s="97" t="n"/>
      <c r="S373" s="97" t="n"/>
      <c r="T373" s="97" t="n"/>
      <c r="U373" s="97" t="n"/>
      <c r="V373" s="97" t="n"/>
      <c r="W373" s="97" t="n"/>
      <c r="X373" s="97" t="n"/>
      <c r="Y373" s="97" t="n"/>
      <c r="Z373" s="97" t="n"/>
      <c r="AA373" s="97" t="n"/>
      <c r="AB373" s="97" t="n"/>
      <c r="AC373" s="97" t="n"/>
      <c r="AD373" s="97" t="n"/>
      <c r="AE373" s="97" t="n"/>
      <c r="AF373" s="97" t="n"/>
      <c r="AG373" s="97" t="n"/>
      <c r="AH373" s="97" t="n"/>
      <c r="AI373" s="97" t="n"/>
      <c r="AJ373" s="97" t="n"/>
      <c r="AK373" s="97" t="n"/>
      <c r="AL373" s="97" t="n"/>
      <c r="AM373" s="97" t="n"/>
      <c r="AN373" s="97" t="n"/>
      <c r="AO373" s="97" t="n"/>
      <c r="AP373" s="97" t="n"/>
      <c r="AQ373" s="97" t="n"/>
      <c r="AR373" s="97" t="n"/>
      <c r="AS373" s="97" t="n"/>
      <c r="AT373" s="97" t="n"/>
      <c r="AU373" s="97" t="n"/>
      <c r="AV373" s="97" t="n"/>
      <c r="AW373" s="97" t="n"/>
      <c r="AX373" s="97" t="n"/>
      <c r="AY373" s="97" t="n"/>
      <c r="AZ373" s="97" t="n"/>
      <c r="BA373" s="97" t="n"/>
      <c r="BB373" s="97" t="n"/>
    </row>
    <row r="374" ht="22" customHeight="1" s="110">
      <c r="A374" s="96" t="n"/>
      <c r="B374" s="96" t="n"/>
      <c r="C374" s="96" t="n"/>
      <c r="D374" s="96" t="n"/>
      <c r="E374" s="96" t="n"/>
      <c r="F374" s="96" t="n"/>
      <c r="G374" s="96" t="n"/>
      <c r="H374" s="96" t="n"/>
      <c r="I374" s="96" t="n"/>
      <c r="J374" s="96" t="n"/>
      <c r="L374" s="96" t="n"/>
      <c r="M374" s="96" t="n"/>
      <c r="N374" s="96" t="n"/>
      <c r="O374" s="96" t="n"/>
      <c r="Q374" s="96" t="n"/>
      <c r="R374" s="96" t="n"/>
      <c r="S374" s="96" t="n"/>
      <c r="T374" s="96" t="n"/>
      <c r="U374" s="96" t="n"/>
      <c r="V374" s="96" t="n"/>
      <c r="W374" s="96" t="n"/>
      <c r="X374" s="96" t="n"/>
      <c r="Y374" s="96" t="n"/>
      <c r="Z374" s="96" t="n"/>
      <c r="AA374" s="96" t="n"/>
      <c r="AB374" s="96" t="n"/>
      <c r="AC374" s="96" t="n"/>
      <c r="AD374" s="96" t="n"/>
      <c r="AE374" s="96" t="n"/>
      <c r="AF374" s="96" t="n"/>
      <c r="AG374" s="96" t="n"/>
      <c r="AH374" s="96" t="n"/>
      <c r="AI374" s="96" t="n"/>
      <c r="AJ374" s="96" t="n"/>
      <c r="AK374" s="96" t="n"/>
      <c r="AL374" s="96" t="n"/>
      <c r="AM374" s="96" t="n"/>
      <c r="AN374" s="96" t="n"/>
      <c r="AO374" s="96" t="n"/>
      <c r="AP374" s="96" t="n"/>
      <c r="AQ374" s="96" t="n"/>
      <c r="AR374" s="96" t="n"/>
      <c r="AS374" s="96" t="n"/>
      <c r="AT374" s="96" t="n"/>
      <c r="AU374" s="96" t="n"/>
      <c r="AV374" s="96" t="n"/>
      <c r="AW374" s="96" t="n"/>
      <c r="AX374" s="96" t="n"/>
      <c r="AY374" s="96" t="n"/>
      <c r="AZ374" s="96" t="n"/>
      <c r="BA374" s="96" t="n"/>
      <c r="BB374" s="96" t="n"/>
    </row>
    <row r="375" ht="22" customHeight="1" s="110">
      <c r="A375" s="97" t="n"/>
      <c r="B375" s="97" t="n"/>
      <c r="C375" s="97" t="n"/>
      <c r="D375" s="97" t="n"/>
      <c r="E375" s="97" t="n"/>
      <c r="F375" s="97" t="n"/>
      <c r="G375" s="97" t="n"/>
      <c r="H375" s="97" t="n"/>
      <c r="I375" s="97" t="n"/>
      <c r="J375" s="97" t="n"/>
      <c r="L375" s="97" t="n"/>
      <c r="M375" s="97" t="n"/>
      <c r="N375" s="97" t="n"/>
      <c r="O375" s="97" t="n"/>
      <c r="Q375" s="97" t="n"/>
      <c r="R375" s="97" t="n"/>
      <c r="S375" s="97" t="n"/>
      <c r="T375" s="97" t="n"/>
      <c r="U375" s="97" t="n"/>
      <c r="V375" s="97" t="n"/>
      <c r="W375" s="97" t="n"/>
      <c r="X375" s="97" t="n"/>
      <c r="Y375" s="97" t="n"/>
      <c r="Z375" s="97" t="n"/>
      <c r="AA375" s="97" t="n"/>
      <c r="AB375" s="97" t="n"/>
      <c r="AC375" s="97" t="n"/>
      <c r="AD375" s="97" t="n"/>
      <c r="AE375" s="97" t="n"/>
      <c r="AF375" s="97" t="n"/>
      <c r="AG375" s="97" t="n"/>
      <c r="AH375" s="97" t="n"/>
      <c r="AI375" s="97" t="n"/>
      <c r="AJ375" s="97" t="n"/>
      <c r="AK375" s="97" t="n"/>
      <c r="AL375" s="97" t="n"/>
      <c r="AM375" s="97" t="n"/>
      <c r="AN375" s="97" t="n"/>
      <c r="AO375" s="97" t="n"/>
      <c r="AP375" s="97" t="n"/>
      <c r="AQ375" s="97" t="n"/>
      <c r="AR375" s="97" t="n"/>
      <c r="AS375" s="97" t="n"/>
      <c r="AT375" s="97" t="n"/>
      <c r="AU375" s="97" t="n"/>
      <c r="AV375" s="97" t="n"/>
      <c r="AW375" s="97" t="n"/>
      <c r="AX375" s="97" t="n"/>
      <c r="AY375" s="97" t="n"/>
      <c r="AZ375" s="97" t="n"/>
      <c r="BA375" s="97" t="n"/>
      <c r="BB375" s="97" t="n"/>
    </row>
    <row r="376" ht="22" customHeight="1" s="110">
      <c r="A376" s="96" t="n"/>
      <c r="B376" s="96" t="n"/>
      <c r="C376" s="96" t="n"/>
      <c r="D376" s="96" t="n"/>
      <c r="E376" s="96" t="n"/>
      <c r="F376" s="96" t="n"/>
      <c r="G376" s="96" t="n"/>
      <c r="H376" s="96" t="n"/>
      <c r="I376" s="96" t="n"/>
      <c r="J376" s="96" t="n"/>
      <c r="L376" s="96" t="n"/>
      <c r="M376" s="96" t="n"/>
      <c r="N376" s="96" t="n"/>
      <c r="O376" s="96" t="n"/>
      <c r="Q376" s="96" t="n"/>
      <c r="R376" s="96" t="n"/>
      <c r="S376" s="96" t="n"/>
      <c r="T376" s="96" t="n"/>
      <c r="U376" s="96" t="n"/>
      <c r="V376" s="96" t="n"/>
      <c r="W376" s="96" t="n"/>
      <c r="X376" s="96" t="n"/>
      <c r="Y376" s="96" t="n"/>
      <c r="Z376" s="96" t="n"/>
      <c r="AA376" s="96" t="n"/>
      <c r="AB376" s="96" t="n"/>
      <c r="AC376" s="96" t="n"/>
      <c r="AD376" s="96" t="n"/>
      <c r="AE376" s="96" t="n"/>
      <c r="AF376" s="96" t="n"/>
      <c r="AG376" s="96" t="n"/>
      <c r="AH376" s="96" t="n"/>
      <c r="AI376" s="96" t="n"/>
      <c r="AJ376" s="96" t="n"/>
      <c r="AK376" s="96" t="n"/>
      <c r="AL376" s="96" t="n"/>
      <c r="AM376" s="96" t="n"/>
      <c r="AN376" s="96" t="n"/>
      <c r="AO376" s="96" t="n"/>
      <c r="AP376" s="96" t="n"/>
      <c r="AQ376" s="96" t="n"/>
      <c r="AR376" s="96" t="n"/>
      <c r="AS376" s="96" t="n"/>
      <c r="AT376" s="96" t="n"/>
      <c r="AU376" s="96" t="n"/>
      <c r="AV376" s="96" t="n"/>
      <c r="AW376" s="96" t="n"/>
      <c r="AX376" s="96" t="n"/>
      <c r="AY376" s="96" t="n"/>
      <c r="AZ376" s="96" t="n"/>
      <c r="BA376" s="96" t="n"/>
      <c r="BB376" s="96" t="n"/>
    </row>
    <row r="377" ht="22" customHeight="1" s="110">
      <c r="A377" s="97" t="n"/>
      <c r="B377" s="97" t="n"/>
      <c r="C377" s="97" t="n"/>
      <c r="D377" s="97" t="n"/>
      <c r="E377" s="97" t="n"/>
      <c r="F377" s="97" t="n"/>
      <c r="G377" s="97" t="n"/>
      <c r="H377" s="97" t="n"/>
      <c r="I377" s="97" t="n"/>
      <c r="J377" s="97" t="n"/>
      <c r="L377" s="97" t="n"/>
      <c r="M377" s="97" t="n"/>
      <c r="N377" s="97" t="n"/>
      <c r="O377" s="97" t="n"/>
      <c r="Q377" s="97" t="n"/>
      <c r="R377" s="97" t="n"/>
      <c r="S377" s="97" t="n"/>
      <c r="T377" s="97" t="n"/>
      <c r="U377" s="97" t="n"/>
      <c r="V377" s="97" t="n"/>
      <c r="W377" s="97" t="n"/>
      <c r="X377" s="97" t="n"/>
      <c r="Y377" s="97" t="n"/>
      <c r="Z377" s="97" t="n"/>
      <c r="AA377" s="97" t="n"/>
      <c r="AB377" s="97" t="n"/>
      <c r="AC377" s="97" t="n"/>
      <c r="AD377" s="97" t="n"/>
      <c r="AE377" s="97" t="n"/>
      <c r="AF377" s="97" t="n"/>
      <c r="AG377" s="97" t="n"/>
      <c r="AH377" s="97" t="n"/>
      <c r="AI377" s="97" t="n"/>
      <c r="AJ377" s="97" t="n"/>
      <c r="AK377" s="97" t="n"/>
      <c r="AL377" s="97" t="n"/>
      <c r="AM377" s="97" t="n"/>
      <c r="AN377" s="97" t="n"/>
      <c r="AO377" s="97" t="n"/>
      <c r="AP377" s="97" t="n"/>
      <c r="AQ377" s="97" t="n"/>
      <c r="AR377" s="97" t="n"/>
      <c r="AS377" s="97" t="n"/>
      <c r="AT377" s="97" t="n"/>
      <c r="AU377" s="97" t="n"/>
      <c r="AV377" s="97" t="n"/>
      <c r="AW377" s="97" t="n"/>
      <c r="AX377" s="97" t="n"/>
      <c r="AY377" s="97" t="n"/>
      <c r="AZ377" s="97" t="n"/>
      <c r="BA377" s="97" t="n"/>
      <c r="BB377" s="97" t="n"/>
    </row>
    <row r="378" ht="22" customHeight="1" s="110">
      <c r="A378" s="96" t="n"/>
      <c r="B378" s="96" t="n"/>
      <c r="C378" s="96" t="n"/>
      <c r="D378" s="96" t="n"/>
      <c r="E378" s="96" t="n"/>
      <c r="F378" s="96" t="n"/>
      <c r="G378" s="96" t="n"/>
      <c r="H378" s="96" t="n"/>
      <c r="I378" s="96" t="n"/>
      <c r="J378" s="96" t="n"/>
      <c r="L378" s="96" t="n"/>
      <c r="M378" s="96" t="n"/>
      <c r="N378" s="96" t="n"/>
      <c r="O378" s="96" t="n"/>
      <c r="Q378" s="96" t="n"/>
      <c r="R378" s="96" t="n"/>
      <c r="S378" s="96" t="n"/>
      <c r="T378" s="96" t="n"/>
      <c r="U378" s="96" t="n"/>
      <c r="V378" s="96" t="n"/>
      <c r="W378" s="96" t="n"/>
      <c r="X378" s="96" t="n"/>
      <c r="Y378" s="96" t="n"/>
      <c r="Z378" s="96" t="n"/>
      <c r="AA378" s="96" t="n"/>
      <c r="AB378" s="96" t="n"/>
      <c r="AC378" s="96" t="n"/>
      <c r="AD378" s="96" t="n"/>
      <c r="AE378" s="96" t="n"/>
      <c r="AF378" s="96" t="n"/>
      <c r="AG378" s="96" t="n"/>
      <c r="AH378" s="96" t="n"/>
      <c r="AI378" s="96" t="n"/>
      <c r="AJ378" s="96" t="n"/>
      <c r="AK378" s="96" t="n"/>
      <c r="AL378" s="96" t="n"/>
      <c r="AM378" s="96" t="n"/>
      <c r="AN378" s="96" t="n"/>
      <c r="AO378" s="96" t="n"/>
      <c r="AP378" s="96" t="n"/>
      <c r="AQ378" s="96" t="n"/>
      <c r="AR378" s="96" t="n"/>
      <c r="AS378" s="96" t="n"/>
      <c r="AT378" s="96" t="n"/>
      <c r="AU378" s="96" t="n"/>
      <c r="AV378" s="96" t="n"/>
      <c r="AW378" s="96" t="n"/>
      <c r="AX378" s="96" t="n"/>
      <c r="AY378" s="96" t="n"/>
      <c r="AZ378" s="96" t="n"/>
      <c r="BA378" s="96" t="n"/>
      <c r="BB378" s="96" t="n"/>
    </row>
    <row r="379" ht="22" customHeight="1" s="110">
      <c r="A379" s="97" t="n"/>
      <c r="B379" s="97" t="n"/>
      <c r="C379" s="97" t="n"/>
      <c r="D379" s="97" t="n"/>
      <c r="E379" s="97" t="n"/>
      <c r="F379" s="97" t="n"/>
      <c r="G379" s="97" t="n"/>
      <c r="H379" s="97" t="n"/>
      <c r="I379" s="97" t="n"/>
      <c r="J379" s="97" t="n"/>
      <c r="L379" s="97" t="n"/>
      <c r="M379" s="97" t="n"/>
      <c r="N379" s="97" t="n"/>
      <c r="O379" s="97" t="n"/>
      <c r="Q379" s="97" t="n"/>
      <c r="R379" s="97" t="n"/>
      <c r="S379" s="97" t="n"/>
      <c r="T379" s="97" t="n"/>
      <c r="U379" s="97" t="n"/>
      <c r="V379" s="97" t="n"/>
      <c r="W379" s="97" t="n"/>
      <c r="X379" s="97" t="n"/>
      <c r="Y379" s="97" t="n"/>
      <c r="Z379" s="97" t="n"/>
      <c r="AA379" s="97" t="n"/>
      <c r="AB379" s="97" t="n"/>
      <c r="AC379" s="97" t="n"/>
      <c r="AD379" s="97" t="n"/>
      <c r="AE379" s="97" t="n"/>
      <c r="AF379" s="97" t="n"/>
      <c r="AG379" s="97" t="n"/>
      <c r="AH379" s="97" t="n"/>
      <c r="AI379" s="97" t="n"/>
      <c r="AJ379" s="97" t="n"/>
      <c r="AK379" s="97" t="n"/>
      <c r="AL379" s="97" t="n"/>
      <c r="AM379" s="97" t="n"/>
      <c r="AN379" s="97" t="n"/>
      <c r="AO379" s="97" t="n"/>
      <c r="AP379" s="97" t="n"/>
      <c r="AQ379" s="97" t="n"/>
      <c r="AR379" s="97" t="n"/>
      <c r="AS379" s="97" t="n"/>
      <c r="AT379" s="97" t="n"/>
      <c r="AU379" s="97" t="n"/>
      <c r="AV379" s="97" t="n"/>
      <c r="AW379" s="97" t="n"/>
      <c r="AX379" s="97" t="n"/>
      <c r="AY379" s="97" t="n"/>
      <c r="AZ379" s="97" t="n"/>
      <c r="BA379" s="97" t="n"/>
      <c r="BB379" s="97" t="n"/>
    </row>
    <row r="380" ht="22" customHeight="1" s="110">
      <c r="A380" s="96" t="n"/>
      <c r="B380" s="96" t="n"/>
      <c r="C380" s="96" t="n"/>
      <c r="D380" s="96" t="n"/>
      <c r="E380" s="96" t="n"/>
      <c r="F380" s="96" t="n"/>
      <c r="G380" s="96" t="n"/>
      <c r="H380" s="96" t="n"/>
      <c r="I380" s="96" t="n"/>
      <c r="J380" s="96" t="n"/>
      <c r="L380" s="96" t="n"/>
      <c r="M380" s="96" t="n"/>
      <c r="N380" s="96" t="n"/>
      <c r="O380" s="96" t="n"/>
      <c r="Q380" s="96" t="n"/>
      <c r="R380" s="96" t="n"/>
      <c r="S380" s="96" t="n"/>
      <c r="T380" s="96" t="n"/>
      <c r="U380" s="96" t="n"/>
      <c r="V380" s="96" t="n"/>
      <c r="W380" s="96" t="n"/>
      <c r="X380" s="96" t="n"/>
      <c r="Y380" s="96" t="n"/>
      <c r="Z380" s="96" t="n"/>
      <c r="AA380" s="96" t="n"/>
      <c r="AB380" s="96" t="n"/>
      <c r="AC380" s="96" t="n"/>
      <c r="AD380" s="96" t="n"/>
      <c r="AE380" s="96" t="n"/>
      <c r="AF380" s="96" t="n"/>
      <c r="AG380" s="96" t="n"/>
      <c r="AH380" s="96" t="n"/>
      <c r="AI380" s="96" t="n"/>
      <c r="AJ380" s="96" t="n"/>
      <c r="AK380" s="96" t="n"/>
      <c r="AL380" s="96" t="n"/>
      <c r="AM380" s="96" t="n"/>
      <c r="AN380" s="96" t="n"/>
      <c r="AO380" s="96" t="n"/>
      <c r="AP380" s="96" t="n"/>
      <c r="AQ380" s="96" t="n"/>
      <c r="AR380" s="96" t="n"/>
      <c r="AS380" s="96" t="n"/>
      <c r="AT380" s="96" t="n"/>
      <c r="AU380" s="96" t="n"/>
      <c r="AV380" s="96" t="n"/>
      <c r="AW380" s="96" t="n"/>
      <c r="AX380" s="96" t="n"/>
      <c r="AY380" s="96" t="n"/>
      <c r="AZ380" s="96" t="n"/>
      <c r="BA380" s="96" t="n"/>
      <c r="BB380" s="96" t="n"/>
    </row>
    <row r="381" ht="22" customHeight="1" s="110">
      <c r="A381" s="97" t="n"/>
      <c r="B381" s="97" t="n"/>
      <c r="C381" s="97" t="n"/>
      <c r="D381" s="97" t="n"/>
      <c r="E381" s="97" t="n"/>
      <c r="F381" s="97" t="n"/>
      <c r="G381" s="97" t="n"/>
      <c r="H381" s="97" t="n"/>
      <c r="I381" s="97" t="n"/>
      <c r="J381" s="97" t="n"/>
      <c r="L381" s="97" t="n"/>
      <c r="M381" s="97" t="n"/>
      <c r="N381" s="97" t="n"/>
      <c r="O381" s="97" t="n"/>
      <c r="Q381" s="97" t="n"/>
      <c r="R381" s="97" t="n"/>
      <c r="S381" s="97" t="n"/>
      <c r="T381" s="97" t="n"/>
      <c r="U381" s="97" t="n"/>
      <c r="V381" s="97" t="n"/>
      <c r="W381" s="97" t="n"/>
      <c r="X381" s="97" t="n"/>
      <c r="Y381" s="97" t="n"/>
      <c r="Z381" s="97" t="n"/>
      <c r="AA381" s="97" t="n"/>
      <c r="AB381" s="97" t="n"/>
      <c r="AC381" s="97" t="n"/>
      <c r="AD381" s="97" t="n"/>
      <c r="AE381" s="97" t="n"/>
      <c r="AF381" s="97" t="n"/>
      <c r="AG381" s="97" t="n"/>
      <c r="AH381" s="97" t="n"/>
      <c r="AI381" s="97" t="n"/>
      <c r="AJ381" s="97" t="n"/>
      <c r="AK381" s="97" t="n"/>
      <c r="AL381" s="97" t="n"/>
      <c r="AM381" s="97" t="n"/>
      <c r="AN381" s="97" t="n"/>
      <c r="AO381" s="97" t="n"/>
      <c r="AP381" s="97" t="n"/>
      <c r="AQ381" s="97" t="n"/>
      <c r="AR381" s="97" t="n"/>
      <c r="AS381" s="97" t="n"/>
      <c r="AT381" s="97" t="n"/>
      <c r="AU381" s="97" t="n"/>
      <c r="AV381" s="97" t="n"/>
      <c r="AW381" s="97" t="n"/>
      <c r="AX381" s="97" t="n"/>
      <c r="AY381" s="97" t="n"/>
      <c r="AZ381" s="97" t="n"/>
      <c r="BA381" s="97" t="n"/>
      <c r="BB381" s="97" t="n"/>
    </row>
    <row r="382" ht="22" customHeight="1" s="110">
      <c r="A382" s="96" t="n"/>
      <c r="B382" s="96" t="n"/>
      <c r="C382" s="96" t="n"/>
      <c r="D382" s="96" t="n"/>
      <c r="E382" s="96" t="n"/>
      <c r="F382" s="96" t="n"/>
      <c r="G382" s="96" t="n"/>
      <c r="H382" s="96" t="n"/>
      <c r="I382" s="96" t="n"/>
      <c r="J382" s="96" t="n"/>
      <c r="L382" s="96" t="n"/>
      <c r="M382" s="96" t="n"/>
      <c r="N382" s="96" t="n"/>
      <c r="O382" s="96" t="n"/>
      <c r="Q382" s="96" t="n"/>
      <c r="R382" s="96" t="n"/>
      <c r="S382" s="96" t="n"/>
      <c r="T382" s="96" t="n"/>
      <c r="U382" s="96" t="n"/>
      <c r="V382" s="96" t="n"/>
      <c r="W382" s="96" t="n"/>
      <c r="X382" s="96" t="n"/>
      <c r="Y382" s="96" t="n"/>
      <c r="Z382" s="96" t="n"/>
      <c r="AA382" s="96" t="n"/>
      <c r="AB382" s="96" t="n"/>
      <c r="AC382" s="96" t="n"/>
      <c r="AD382" s="96" t="n"/>
      <c r="AE382" s="96" t="n"/>
      <c r="AF382" s="96" t="n"/>
      <c r="AG382" s="96" t="n"/>
      <c r="AH382" s="96" t="n"/>
      <c r="AI382" s="96" t="n"/>
      <c r="AJ382" s="96" t="n"/>
      <c r="AK382" s="96" t="n"/>
      <c r="AL382" s="96" t="n"/>
      <c r="AM382" s="96" t="n"/>
      <c r="AN382" s="96" t="n"/>
      <c r="AO382" s="96" t="n"/>
      <c r="AP382" s="96" t="n"/>
      <c r="AQ382" s="96" t="n"/>
      <c r="AR382" s="96" t="n"/>
      <c r="AS382" s="96" t="n"/>
      <c r="AT382" s="96" t="n"/>
      <c r="AU382" s="96" t="n"/>
      <c r="AV382" s="96" t="n"/>
      <c r="AW382" s="96" t="n"/>
      <c r="AX382" s="96" t="n"/>
      <c r="AY382" s="96" t="n"/>
      <c r="AZ382" s="96" t="n"/>
      <c r="BA382" s="96" t="n"/>
      <c r="BB382" s="96" t="n"/>
    </row>
    <row r="383" ht="22" customHeight="1" s="110">
      <c r="A383" s="97" t="n"/>
      <c r="B383" s="97" t="n"/>
      <c r="C383" s="97" t="n"/>
      <c r="D383" s="97" t="n"/>
      <c r="E383" s="97" t="n"/>
      <c r="F383" s="97" t="n"/>
      <c r="G383" s="97" t="n"/>
      <c r="H383" s="97" t="n"/>
      <c r="I383" s="97" t="n"/>
      <c r="J383" s="97" t="n"/>
      <c r="L383" s="97" t="n"/>
      <c r="M383" s="97" t="n"/>
      <c r="N383" s="97" t="n"/>
      <c r="O383" s="97" t="n"/>
      <c r="Q383" s="97" t="n"/>
      <c r="R383" s="97" t="n"/>
      <c r="S383" s="97" t="n"/>
      <c r="T383" s="97" t="n"/>
      <c r="U383" s="97" t="n"/>
      <c r="V383" s="97" t="n"/>
      <c r="W383" s="97" t="n"/>
      <c r="X383" s="97" t="n"/>
      <c r="Y383" s="97" t="n"/>
      <c r="Z383" s="97" t="n"/>
      <c r="AA383" s="97" t="n"/>
      <c r="AB383" s="97" t="n"/>
      <c r="AC383" s="97" t="n"/>
      <c r="AD383" s="97" t="n"/>
      <c r="AE383" s="97" t="n"/>
      <c r="AF383" s="97" t="n"/>
      <c r="AG383" s="97" t="n"/>
      <c r="AH383" s="97" t="n"/>
      <c r="AI383" s="97" t="n"/>
      <c r="AJ383" s="97" t="n"/>
      <c r="AK383" s="97" t="n"/>
      <c r="AL383" s="97" t="n"/>
      <c r="AM383" s="97" t="n"/>
      <c r="AN383" s="97" t="n"/>
      <c r="AO383" s="97" t="n"/>
      <c r="AP383" s="97" t="n"/>
      <c r="AQ383" s="97" t="n"/>
      <c r="AR383" s="97" t="n"/>
      <c r="AS383" s="97" t="n"/>
      <c r="AT383" s="97" t="n"/>
      <c r="AU383" s="97" t="n"/>
      <c r="AV383" s="97" t="n"/>
      <c r="AW383" s="97" t="n"/>
      <c r="AX383" s="97" t="n"/>
      <c r="AY383" s="97" t="n"/>
      <c r="AZ383" s="97" t="n"/>
      <c r="BA383" s="97" t="n"/>
      <c r="BB383" s="97" t="n"/>
    </row>
    <row r="384" ht="22" customHeight="1" s="110">
      <c r="A384" s="96" t="n"/>
      <c r="B384" s="96" t="n"/>
      <c r="C384" s="96" t="n"/>
      <c r="D384" s="96" t="n"/>
      <c r="E384" s="96" t="n"/>
      <c r="F384" s="96" t="n"/>
      <c r="G384" s="96" t="n"/>
      <c r="H384" s="96" t="n"/>
      <c r="I384" s="96" t="n"/>
      <c r="J384" s="96" t="n"/>
      <c r="L384" s="96" t="n"/>
      <c r="M384" s="96" t="n"/>
      <c r="N384" s="96" t="n"/>
      <c r="O384" s="96" t="n"/>
      <c r="Q384" s="96" t="n"/>
      <c r="R384" s="96" t="n"/>
      <c r="S384" s="96" t="n"/>
      <c r="T384" s="96" t="n"/>
      <c r="U384" s="96" t="n"/>
      <c r="V384" s="96" t="n"/>
      <c r="W384" s="96" t="n"/>
      <c r="X384" s="96" t="n"/>
      <c r="Y384" s="96" t="n"/>
      <c r="Z384" s="96" t="n"/>
      <c r="AA384" s="96" t="n"/>
      <c r="AB384" s="96" t="n"/>
      <c r="AC384" s="96" t="n"/>
      <c r="AD384" s="96" t="n"/>
      <c r="AE384" s="96" t="n"/>
      <c r="AF384" s="96" t="n"/>
      <c r="AG384" s="96" t="n"/>
      <c r="AH384" s="96" t="n"/>
      <c r="AI384" s="96" t="n"/>
      <c r="AJ384" s="96" t="n"/>
      <c r="AK384" s="96" t="n"/>
      <c r="AL384" s="96" t="n"/>
      <c r="AM384" s="96" t="n"/>
      <c r="AN384" s="96" t="n"/>
      <c r="AO384" s="96" t="n"/>
      <c r="AP384" s="96" t="n"/>
      <c r="AQ384" s="96" t="n"/>
      <c r="AR384" s="96" t="n"/>
      <c r="AS384" s="96" t="n"/>
      <c r="AT384" s="96" t="n"/>
      <c r="AU384" s="96" t="n"/>
      <c r="AV384" s="96" t="n"/>
      <c r="AW384" s="96" t="n"/>
      <c r="AX384" s="96" t="n"/>
      <c r="AY384" s="96" t="n"/>
      <c r="AZ384" s="96" t="n"/>
      <c r="BA384" s="96" t="n"/>
      <c r="BB384" s="96" t="n"/>
    </row>
    <row r="385" ht="22" customHeight="1" s="110">
      <c r="A385" s="97" t="n"/>
      <c r="B385" s="97" t="n"/>
      <c r="C385" s="97" t="n"/>
      <c r="D385" s="97" t="n"/>
      <c r="E385" s="97" t="n"/>
      <c r="F385" s="97" t="n"/>
      <c r="G385" s="97" t="n"/>
      <c r="H385" s="97" t="n"/>
      <c r="I385" s="97" t="n"/>
      <c r="J385" s="97" t="n"/>
      <c r="L385" s="97" t="n"/>
      <c r="M385" s="97" t="n"/>
      <c r="N385" s="97" t="n"/>
      <c r="O385" s="97" t="n"/>
      <c r="Q385" s="97" t="n"/>
      <c r="R385" s="97" t="n"/>
      <c r="S385" s="97" t="n"/>
      <c r="T385" s="97" t="n"/>
      <c r="U385" s="97" t="n"/>
      <c r="V385" s="97" t="n"/>
      <c r="W385" s="97" t="n"/>
      <c r="X385" s="97" t="n"/>
      <c r="Y385" s="97" t="n"/>
      <c r="Z385" s="97" t="n"/>
      <c r="AA385" s="97" t="n"/>
      <c r="AB385" s="97" t="n"/>
      <c r="AC385" s="97" t="n"/>
      <c r="AD385" s="97" t="n"/>
      <c r="AE385" s="97" t="n"/>
      <c r="AF385" s="97" t="n"/>
      <c r="AG385" s="97" t="n"/>
      <c r="AH385" s="97" t="n"/>
      <c r="AI385" s="97" t="n"/>
      <c r="AJ385" s="97" t="n"/>
      <c r="AK385" s="97" t="n"/>
      <c r="AL385" s="97" t="n"/>
      <c r="AM385" s="97" t="n"/>
      <c r="AN385" s="97" t="n"/>
      <c r="AO385" s="97" t="n"/>
      <c r="AP385" s="97" t="n"/>
      <c r="AQ385" s="97" t="n"/>
      <c r="AR385" s="97" t="n"/>
      <c r="AS385" s="97" t="n"/>
      <c r="AT385" s="97" t="n"/>
      <c r="AU385" s="97" t="n"/>
      <c r="AV385" s="97" t="n"/>
      <c r="AW385" s="97" t="n"/>
      <c r="AX385" s="97" t="n"/>
      <c r="AY385" s="97" t="n"/>
      <c r="AZ385" s="97" t="n"/>
      <c r="BA385" s="97" t="n"/>
      <c r="BB385" s="97" t="n"/>
    </row>
    <row r="386" ht="22" customHeight="1" s="110">
      <c r="A386" s="96" t="n"/>
      <c r="B386" s="96" t="n"/>
      <c r="C386" s="96" t="n"/>
      <c r="D386" s="96" t="n"/>
      <c r="E386" s="96" t="n"/>
      <c r="F386" s="96" t="n"/>
      <c r="G386" s="96" t="n"/>
      <c r="H386" s="96" t="n"/>
      <c r="I386" s="96" t="n"/>
      <c r="J386" s="96" t="n"/>
      <c r="L386" s="96" t="n"/>
      <c r="M386" s="96" t="n"/>
      <c r="N386" s="96" t="n"/>
      <c r="O386" s="96" t="n"/>
      <c r="Q386" s="96" t="n"/>
      <c r="R386" s="96" t="n"/>
      <c r="S386" s="96" t="n"/>
      <c r="T386" s="96" t="n"/>
      <c r="U386" s="96" t="n"/>
      <c r="V386" s="96" t="n"/>
      <c r="W386" s="96" t="n"/>
      <c r="X386" s="96" t="n"/>
      <c r="Y386" s="96" t="n"/>
      <c r="Z386" s="96" t="n"/>
      <c r="AA386" s="96" t="n"/>
      <c r="AB386" s="96" t="n"/>
      <c r="AC386" s="96" t="n"/>
      <c r="AD386" s="96" t="n"/>
      <c r="AE386" s="96" t="n"/>
      <c r="AF386" s="96" t="n"/>
      <c r="AG386" s="96" t="n"/>
      <c r="AH386" s="96" t="n"/>
      <c r="AI386" s="96" t="n"/>
      <c r="AJ386" s="96" t="n"/>
      <c r="AK386" s="96" t="n"/>
      <c r="AL386" s="96" t="n"/>
      <c r="AM386" s="96" t="n"/>
      <c r="AN386" s="96" t="n"/>
      <c r="AO386" s="96" t="n"/>
      <c r="AP386" s="96" t="n"/>
      <c r="AQ386" s="96" t="n"/>
      <c r="AR386" s="96" t="n"/>
      <c r="AS386" s="96" t="n"/>
      <c r="AT386" s="96" t="n"/>
      <c r="AU386" s="96" t="n"/>
      <c r="AV386" s="96" t="n"/>
      <c r="AW386" s="96" t="n"/>
      <c r="AX386" s="96" t="n"/>
      <c r="AY386" s="96" t="n"/>
      <c r="AZ386" s="96" t="n"/>
      <c r="BA386" s="96" t="n"/>
      <c r="BB386" s="96" t="n"/>
    </row>
    <row r="387" ht="22" customHeight="1" s="110">
      <c r="A387" s="97" t="n"/>
      <c r="B387" s="97" t="n"/>
      <c r="C387" s="97" t="n"/>
      <c r="D387" s="97" t="n"/>
      <c r="E387" s="97" t="n"/>
      <c r="F387" s="97" t="n"/>
      <c r="G387" s="97" t="n"/>
      <c r="H387" s="97" t="n"/>
      <c r="I387" s="97" t="n"/>
      <c r="J387" s="97" t="n"/>
      <c r="L387" s="97" t="n"/>
      <c r="M387" s="97" t="n"/>
      <c r="N387" s="97" t="n"/>
      <c r="O387" s="97" t="n"/>
      <c r="Q387" s="97" t="n"/>
      <c r="R387" s="97" t="n"/>
      <c r="S387" s="97" t="n"/>
      <c r="T387" s="97" t="n"/>
      <c r="U387" s="97" t="n"/>
      <c r="V387" s="97" t="n"/>
      <c r="W387" s="97" t="n"/>
      <c r="X387" s="97" t="n"/>
      <c r="Y387" s="97" t="n"/>
      <c r="Z387" s="97" t="n"/>
      <c r="AA387" s="97" t="n"/>
      <c r="AB387" s="97" t="n"/>
      <c r="AC387" s="97" t="n"/>
      <c r="AD387" s="97" t="n"/>
      <c r="AE387" s="97" t="n"/>
      <c r="AF387" s="97" t="n"/>
      <c r="AG387" s="97" t="n"/>
      <c r="AH387" s="97" t="n"/>
      <c r="AI387" s="97" t="n"/>
      <c r="AJ387" s="97" t="n"/>
      <c r="AK387" s="97" t="n"/>
      <c r="AL387" s="97" t="n"/>
      <c r="AM387" s="97" t="n"/>
      <c r="AN387" s="97" t="n"/>
      <c r="AO387" s="97" t="n"/>
      <c r="AP387" s="97" t="n"/>
      <c r="AQ387" s="97" t="n"/>
      <c r="AR387" s="97" t="n"/>
      <c r="AS387" s="97" t="n"/>
      <c r="AT387" s="97" t="n"/>
      <c r="AU387" s="97" t="n"/>
      <c r="AV387" s="97" t="n"/>
      <c r="AW387" s="97" t="n"/>
      <c r="AX387" s="97" t="n"/>
      <c r="AY387" s="97" t="n"/>
      <c r="AZ387" s="97" t="n"/>
      <c r="BA387" s="97" t="n"/>
      <c r="BB387" s="97" t="n"/>
    </row>
    <row r="388" ht="22" customHeight="1" s="110">
      <c r="A388" s="96" t="n"/>
      <c r="B388" s="96" t="n"/>
      <c r="C388" s="96" t="n"/>
      <c r="D388" s="96" t="n"/>
      <c r="E388" s="96" t="n"/>
      <c r="F388" s="96" t="n"/>
      <c r="G388" s="96" t="n"/>
      <c r="H388" s="96" t="n"/>
      <c r="I388" s="96" t="n"/>
      <c r="J388" s="96" t="n"/>
      <c r="L388" s="96" t="n"/>
      <c r="M388" s="96" t="n"/>
      <c r="N388" s="96" t="n"/>
      <c r="O388" s="96" t="n"/>
      <c r="Q388" s="96" t="n"/>
      <c r="R388" s="96" t="n"/>
      <c r="S388" s="96" t="n"/>
      <c r="T388" s="96" t="n"/>
      <c r="U388" s="96" t="n"/>
      <c r="V388" s="96" t="n"/>
      <c r="W388" s="96" t="n"/>
      <c r="X388" s="96" t="n"/>
      <c r="Y388" s="96" t="n"/>
      <c r="Z388" s="96" t="n"/>
      <c r="AA388" s="96" t="n"/>
      <c r="AB388" s="96" t="n"/>
      <c r="AC388" s="96" t="n"/>
      <c r="AD388" s="96" t="n"/>
      <c r="AE388" s="96" t="n"/>
      <c r="AF388" s="96" t="n"/>
      <c r="AG388" s="96" t="n"/>
      <c r="AH388" s="96" t="n"/>
      <c r="AI388" s="96" t="n"/>
      <c r="AJ388" s="96" t="n"/>
      <c r="AK388" s="96" t="n"/>
      <c r="AL388" s="96" t="n"/>
      <c r="AM388" s="96" t="n"/>
      <c r="AN388" s="96" t="n"/>
      <c r="AO388" s="96" t="n"/>
      <c r="AP388" s="96" t="n"/>
      <c r="AQ388" s="96" t="n"/>
      <c r="AR388" s="96" t="n"/>
      <c r="AS388" s="96" t="n"/>
      <c r="AT388" s="96" t="n"/>
      <c r="AU388" s="96" t="n"/>
      <c r="AV388" s="96" t="n"/>
      <c r="AW388" s="96" t="n"/>
      <c r="AX388" s="96" t="n"/>
      <c r="AY388" s="96" t="n"/>
      <c r="AZ388" s="96" t="n"/>
      <c r="BA388" s="96" t="n"/>
      <c r="BB388" s="96" t="n"/>
    </row>
    <row r="389" ht="22" customHeight="1" s="110">
      <c r="A389" s="97" t="n"/>
      <c r="B389" s="97" t="n"/>
      <c r="C389" s="97" t="n"/>
      <c r="D389" s="97" t="n"/>
      <c r="E389" s="97" t="n"/>
      <c r="F389" s="97" t="n"/>
      <c r="G389" s="97" t="n"/>
      <c r="H389" s="97" t="n"/>
      <c r="I389" s="97" t="n"/>
      <c r="J389" s="97" t="n"/>
      <c r="L389" s="97" t="n"/>
      <c r="M389" s="97" t="n"/>
      <c r="N389" s="97" t="n"/>
      <c r="O389" s="97" t="n"/>
      <c r="Q389" s="97" t="n"/>
      <c r="R389" s="97" t="n"/>
      <c r="S389" s="97" t="n"/>
      <c r="T389" s="97" t="n"/>
      <c r="U389" s="97" t="n"/>
      <c r="V389" s="97" t="n"/>
      <c r="W389" s="97" t="n"/>
      <c r="X389" s="97" t="n"/>
      <c r="Y389" s="97" t="n"/>
      <c r="Z389" s="97" t="n"/>
      <c r="AA389" s="97" t="n"/>
      <c r="AB389" s="97" t="n"/>
      <c r="AC389" s="97" t="n"/>
      <c r="AD389" s="97" t="n"/>
      <c r="AE389" s="97" t="n"/>
      <c r="AF389" s="97" t="n"/>
      <c r="AG389" s="97" t="n"/>
      <c r="AH389" s="97" t="n"/>
      <c r="AI389" s="97" t="n"/>
      <c r="AJ389" s="97" t="n"/>
      <c r="AK389" s="97" t="n"/>
      <c r="AL389" s="97" t="n"/>
      <c r="AM389" s="97" t="n"/>
      <c r="AN389" s="97" t="n"/>
      <c r="AO389" s="97" t="n"/>
      <c r="AP389" s="97" t="n"/>
      <c r="AQ389" s="97" t="n"/>
      <c r="AR389" s="97" t="n"/>
      <c r="AS389" s="97" t="n"/>
      <c r="AT389" s="97" t="n"/>
      <c r="AU389" s="97" t="n"/>
      <c r="AV389" s="97" t="n"/>
      <c r="AW389" s="97" t="n"/>
      <c r="AX389" s="97" t="n"/>
      <c r="AY389" s="97" t="n"/>
      <c r="AZ389" s="97" t="n"/>
      <c r="BA389" s="97" t="n"/>
      <c r="BB389" s="97" t="n"/>
    </row>
    <row r="390" ht="22" customHeight="1" s="110">
      <c r="A390" s="96" t="n"/>
      <c r="B390" s="96" t="n"/>
      <c r="C390" s="96" t="n"/>
      <c r="D390" s="96" t="n"/>
      <c r="E390" s="96" t="n"/>
      <c r="F390" s="96" t="n"/>
      <c r="G390" s="96" t="n"/>
      <c r="H390" s="96" t="n"/>
      <c r="I390" s="96" t="n"/>
      <c r="J390" s="96" t="n"/>
      <c r="L390" s="96" t="n"/>
      <c r="M390" s="96" t="n"/>
      <c r="N390" s="96" t="n"/>
      <c r="O390" s="96" t="n"/>
      <c r="Q390" s="96" t="n"/>
      <c r="R390" s="96" t="n"/>
      <c r="S390" s="96" t="n"/>
      <c r="T390" s="96" t="n"/>
      <c r="U390" s="96" t="n"/>
      <c r="V390" s="96" t="n"/>
      <c r="W390" s="96" t="n"/>
      <c r="X390" s="96" t="n"/>
      <c r="Y390" s="96" t="n"/>
      <c r="Z390" s="96" t="n"/>
      <c r="AA390" s="96" t="n"/>
      <c r="AB390" s="96" t="n"/>
      <c r="AC390" s="96" t="n"/>
      <c r="AD390" s="96" t="n"/>
      <c r="AE390" s="96" t="n"/>
      <c r="AF390" s="96" t="n"/>
      <c r="AG390" s="96" t="n"/>
      <c r="AH390" s="96" t="n"/>
      <c r="AI390" s="96" t="n"/>
      <c r="AJ390" s="96" t="n"/>
      <c r="AK390" s="96" t="n"/>
      <c r="AL390" s="96" t="n"/>
      <c r="AM390" s="96" t="n"/>
      <c r="AN390" s="96" t="n"/>
      <c r="AO390" s="96" t="n"/>
      <c r="AP390" s="96" t="n"/>
      <c r="AQ390" s="96" t="n"/>
      <c r="AR390" s="96" t="n"/>
      <c r="AS390" s="96" t="n"/>
      <c r="AT390" s="96" t="n"/>
      <c r="AU390" s="96" t="n"/>
      <c r="AV390" s="96" t="n"/>
      <c r="AW390" s="96" t="n"/>
      <c r="AX390" s="96" t="n"/>
      <c r="AY390" s="96" t="n"/>
      <c r="AZ390" s="96" t="n"/>
      <c r="BA390" s="96" t="n"/>
      <c r="BB390" s="96" t="n"/>
    </row>
    <row r="391" ht="22" customHeight="1" s="110">
      <c r="A391" s="97" t="n"/>
      <c r="B391" s="97" t="n"/>
      <c r="C391" s="97" t="n"/>
      <c r="D391" s="97" t="n"/>
      <c r="E391" s="97" t="n"/>
      <c r="F391" s="97" t="n"/>
      <c r="G391" s="97" t="n"/>
      <c r="H391" s="97" t="n"/>
      <c r="I391" s="97" t="n"/>
      <c r="J391" s="97" t="n"/>
      <c r="L391" s="97" t="n"/>
      <c r="M391" s="97" t="n"/>
      <c r="N391" s="97" t="n"/>
      <c r="O391" s="97" t="n"/>
      <c r="Q391" s="97" t="n"/>
      <c r="R391" s="97" t="n"/>
      <c r="S391" s="97" t="n"/>
      <c r="T391" s="97" t="n"/>
      <c r="U391" s="97" t="n"/>
      <c r="V391" s="97" t="n"/>
      <c r="W391" s="97" t="n"/>
      <c r="X391" s="97" t="n"/>
      <c r="Y391" s="97" t="n"/>
      <c r="Z391" s="97" t="n"/>
      <c r="AA391" s="97" t="n"/>
      <c r="AB391" s="97" t="n"/>
      <c r="AC391" s="97" t="n"/>
      <c r="AD391" s="97" t="n"/>
      <c r="AE391" s="97" t="n"/>
      <c r="AF391" s="97" t="n"/>
      <c r="AG391" s="97" t="n"/>
      <c r="AH391" s="97" t="n"/>
      <c r="AI391" s="97" t="n"/>
      <c r="AJ391" s="97" t="n"/>
      <c r="AK391" s="97" t="n"/>
      <c r="AL391" s="97" t="n"/>
      <c r="AM391" s="97" t="n"/>
      <c r="AN391" s="97" t="n"/>
      <c r="AO391" s="97" t="n"/>
      <c r="AP391" s="97" t="n"/>
      <c r="AQ391" s="97" t="n"/>
      <c r="AR391" s="97" t="n"/>
      <c r="AS391" s="97" t="n"/>
      <c r="AT391" s="97" t="n"/>
      <c r="AU391" s="97" t="n"/>
      <c r="AV391" s="97" t="n"/>
      <c r="AW391" s="97" t="n"/>
      <c r="AX391" s="97" t="n"/>
      <c r="AY391" s="97" t="n"/>
      <c r="AZ391" s="97" t="n"/>
      <c r="BA391" s="97" t="n"/>
      <c r="BB391" s="97" t="n"/>
    </row>
    <row r="392" ht="22" customHeight="1" s="110">
      <c r="A392" s="96" t="n"/>
      <c r="B392" s="96" t="n"/>
      <c r="C392" s="96" t="n"/>
      <c r="D392" s="96" t="n"/>
      <c r="E392" s="96" t="n"/>
      <c r="F392" s="96" t="n"/>
      <c r="G392" s="96" t="n"/>
      <c r="H392" s="96" t="n"/>
      <c r="I392" s="96" t="n"/>
      <c r="J392" s="96" t="n"/>
      <c r="L392" s="96" t="n"/>
      <c r="M392" s="96" t="n"/>
      <c r="N392" s="96" t="n"/>
      <c r="O392" s="96" t="n"/>
      <c r="Q392" s="96" t="n"/>
      <c r="R392" s="96" t="n"/>
      <c r="S392" s="96" t="n"/>
      <c r="T392" s="96" t="n"/>
      <c r="U392" s="96" t="n"/>
      <c r="V392" s="96" t="n"/>
      <c r="W392" s="96" t="n"/>
      <c r="X392" s="96" t="n"/>
      <c r="Y392" s="96" t="n"/>
      <c r="Z392" s="96" t="n"/>
      <c r="AA392" s="96" t="n"/>
      <c r="AB392" s="96" t="n"/>
      <c r="AC392" s="96" t="n"/>
      <c r="AD392" s="96" t="n"/>
      <c r="AE392" s="96" t="n"/>
      <c r="AF392" s="96" t="n"/>
      <c r="AG392" s="96" t="n"/>
      <c r="AH392" s="96" t="n"/>
      <c r="AI392" s="96" t="n"/>
      <c r="AJ392" s="96" t="n"/>
      <c r="AK392" s="96" t="n"/>
      <c r="AL392" s="96" t="n"/>
      <c r="AM392" s="96" t="n"/>
      <c r="AN392" s="96" t="n"/>
      <c r="AO392" s="96" t="n"/>
      <c r="AP392" s="96" t="n"/>
      <c r="AQ392" s="96" t="n"/>
      <c r="AR392" s="96" t="n"/>
      <c r="AS392" s="96" t="n"/>
      <c r="AT392" s="96" t="n"/>
      <c r="AU392" s="96" t="n"/>
      <c r="AV392" s="96" t="n"/>
      <c r="AW392" s="96" t="n"/>
      <c r="AX392" s="96" t="n"/>
      <c r="AY392" s="96" t="n"/>
      <c r="AZ392" s="96" t="n"/>
      <c r="BA392" s="96" t="n"/>
      <c r="BB392" s="96" t="n"/>
    </row>
    <row r="393" ht="22" customHeight="1" s="110">
      <c r="A393" s="97" t="n"/>
      <c r="B393" s="97" t="n"/>
      <c r="C393" s="97" t="n"/>
      <c r="D393" s="97" t="n"/>
      <c r="E393" s="97" t="n"/>
      <c r="F393" s="97" t="n"/>
      <c r="G393" s="97" t="n"/>
      <c r="H393" s="97" t="n"/>
      <c r="I393" s="97" t="n"/>
      <c r="J393" s="97" t="n"/>
      <c r="L393" s="97" t="n"/>
      <c r="M393" s="97" t="n"/>
      <c r="N393" s="97" t="n"/>
      <c r="O393" s="97" t="n"/>
      <c r="Q393" s="97" t="n"/>
      <c r="R393" s="97" t="n"/>
      <c r="S393" s="97" t="n"/>
      <c r="T393" s="97" t="n"/>
      <c r="U393" s="97" t="n"/>
      <c r="V393" s="97" t="n"/>
      <c r="W393" s="97" t="n"/>
      <c r="X393" s="97" t="n"/>
      <c r="Y393" s="97" t="n"/>
      <c r="Z393" s="97" t="n"/>
      <c r="AA393" s="97" t="n"/>
      <c r="AB393" s="97" t="n"/>
      <c r="AC393" s="97" t="n"/>
      <c r="AD393" s="97" t="n"/>
      <c r="AE393" s="97" t="n"/>
      <c r="AF393" s="97" t="n"/>
      <c r="AG393" s="97" t="n"/>
      <c r="AH393" s="97" t="n"/>
      <c r="AI393" s="97" t="n"/>
      <c r="AJ393" s="97" t="n"/>
      <c r="AK393" s="97" t="n"/>
      <c r="AL393" s="97" t="n"/>
      <c r="AM393" s="97" t="n"/>
      <c r="AN393" s="97" t="n"/>
      <c r="AO393" s="97" t="n"/>
      <c r="AP393" s="97" t="n"/>
      <c r="AQ393" s="97" t="n"/>
      <c r="AR393" s="97" t="n"/>
      <c r="AS393" s="97" t="n"/>
      <c r="AT393" s="97" t="n"/>
      <c r="AU393" s="97" t="n"/>
      <c r="AV393" s="97" t="n"/>
      <c r="AW393" s="97" t="n"/>
      <c r="AX393" s="97" t="n"/>
      <c r="AY393" s="97" t="n"/>
      <c r="AZ393" s="97" t="n"/>
      <c r="BA393" s="97" t="n"/>
      <c r="BB393" s="97" t="n"/>
    </row>
    <row r="394" ht="22" customHeight="1" s="110">
      <c r="A394" s="96" t="n"/>
      <c r="B394" s="96" t="n"/>
      <c r="C394" s="96" t="n"/>
      <c r="D394" s="96" t="n"/>
      <c r="E394" s="96" t="n"/>
      <c r="F394" s="96" t="n"/>
      <c r="G394" s="96" t="n"/>
      <c r="H394" s="96" t="n"/>
      <c r="I394" s="96" t="n"/>
      <c r="J394" s="96" t="n"/>
      <c r="L394" s="96" t="n"/>
      <c r="M394" s="96" t="n"/>
      <c r="N394" s="96" t="n"/>
      <c r="O394" s="96" t="n"/>
      <c r="Q394" s="96" t="n"/>
      <c r="R394" s="96" t="n"/>
      <c r="S394" s="96" t="n"/>
      <c r="T394" s="96" t="n"/>
      <c r="U394" s="96" t="n"/>
      <c r="V394" s="96" t="n"/>
      <c r="W394" s="96" t="n"/>
      <c r="X394" s="96" t="n"/>
      <c r="Y394" s="96" t="n"/>
      <c r="Z394" s="96" t="n"/>
      <c r="AA394" s="96" t="n"/>
      <c r="AB394" s="96" t="n"/>
      <c r="AC394" s="96" t="n"/>
      <c r="AD394" s="96" t="n"/>
      <c r="AE394" s="96" t="n"/>
      <c r="AF394" s="96" t="n"/>
      <c r="AG394" s="96" t="n"/>
      <c r="AH394" s="96" t="n"/>
      <c r="AI394" s="96" t="n"/>
      <c r="AJ394" s="96" t="n"/>
      <c r="AK394" s="96" t="n"/>
      <c r="AL394" s="96" t="n"/>
      <c r="AM394" s="96" t="n"/>
      <c r="AN394" s="96" t="n"/>
      <c r="AO394" s="96" t="n"/>
      <c r="AP394" s="96" t="n"/>
      <c r="AQ394" s="96" t="n"/>
      <c r="AR394" s="96" t="n"/>
      <c r="AS394" s="96" t="n"/>
      <c r="AT394" s="96" t="n"/>
      <c r="AU394" s="96" t="n"/>
      <c r="AV394" s="96" t="n"/>
      <c r="AW394" s="96" t="n"/>
      <c r="AX394" s="96" t="n"/>
      <c r="AY394" s="96" t="n"/>
      <c r="AZ394" s="96" t="n"/>
      <c r="BA394" s="96" t="n"/>
      <c r="BB394" s="96" t="n"/>
    </row>
    <row r="395" ht="22" customHeight="1" s="110">
      <c r="A395" s="97" t="n"/>
      <c r="B395" s="97" t="n"/>
      <c r="C395" s="97" t="n"/>
      <c r="D395" s="97" t="n"/>
      <c r="E395" s="97" t="n"/>
      <c r="F395" s="97" t="n"/>
      <c r="G395" s="97" t="n"/>
      <c r="H395" s="97" t="n"/>
      <c r="I395" s="97" t="n"/>
      <c r="J395" s="97" t="n"/>
      <c r="L395" s="97" t="n"/>
      <c r="M395" s="97" t="n"/>
      <c r="N395" s="97" t="n"/>
      <c r="O395" s="97" t="n"/>
      <c r="Q395" s="97" t="n"/>
      <c r="R395" s="97" t="n"/>
      <c r="S395" s="97" t="n"/>
      <c r="T395" s="97" t="n"/>
      <c r="U395" s="97" t="n"/>
      <c r="V395" s="97" t="n"/>
      <c r="W395" s="97" t="n"/>
      <c r="X395" s="97" t="n"/>
      <c r="Y395" s="97" t="n"/>
      <c r="Z395" s="97" t="n"/>
      <c r="AA395" s="97" t="n"/>
      <c r="AB395" s="97" t="n"/>
      <c r="AC395" s="97" t="n"/>
      <c r="AD395" s="97" t="n"/>
      <c r="AE395" s="97" t="n"/>
      <c r="AF395" s="97" t="n"/>
      <c r="AG395" s="97" t="n"/>
      <c r="AH395" s="97" t="n"/>
      <c r="AI395" s="97" t="n"/>
      <c r="AJ395" s="97" t="n"/>
      <c r="AK395" s="97" t="n"/>
      <c r="AL395" s="97" t="n"/>
      <c r="AM395" s="97" t="n"/>
      <c r="AN395" s="97" t="n"/>
      <c r="AO395" s="97" t="n"/>
      <c r="AP395" s="97" t="n"/>
      <c r="AQ395" s="97" t="n"/>
      <c r="AR395" s="97" t="n"/>
      <c r="AS395" s="97" t="n"/>
      <c r="AT395" s="97" t="n"/>
      <c r="AU395" s="97" t="n"/>
      <c r="AV395" s="97" t="n"/>
      <c r="AW395" s="97" t="n"/>
      <c r="AX395" s="97" t="n"/>
      <c r="AY395" s="97" t="n"/>
      <c r="AZ395" s="97" t="n"/>
      <c r="BA395" s="97" t="n"/>
      <c r="BB395" s="97" t="n"/>
    </row>
    <row r="396" ht="22" customHeight="1" s="110">
      <c r="A396" s="96" t="n"/>
      <c r="B396" s="96" t="n"/>
      <c r="C396" s="96" t="n"/>
      <c r="D396" s="96" t="n"/>
      <c r="E396" s="96" t="n"/>
      <c r="F396" s="96" t="n"/>
      <c r="G396" s="96" t="n"/>
      <c r="H396" s="96" t="n"/>
      <c r="I396" s="96" t="n"/>
      <c r="J396" s="96" t="n"/>
      <c r="L396" s="96" t="n"/>
      <c r="M396" s="96" t="n"/>
      <c r="N396" s="96" t="n"/>
      <c r="O396" s="96" t="n"/>
      <c r="Q396" s="96" t="n"/>
      <c r="R396" s="96" t="n"/>
      <c r="S396" s="96" t="n"/>
      <c r="T396" s="96" t="n"/>
      <c r="U396" s="96" t="n"/>
      <c r="V396" s="96" t="n"/>
      <c r="W396" s="96" t="n"/>
      <c r="X396" s="96" t="n"/>
      <c r="Y396" s="96" t="n"/>
      <c r="Z396" s="96" t="n"/>
      <c r="AA396" s="96" t="n"/>
      <c r="AB396" s="96" t="n"/>
      <c r="AC396" s="96" t="n"/>
      <c r="AD396" s="96" t="n"/>
      <c r="AE396" s="96" t="n"/>
      <c r="AF396" s="96" t="n"/>
      <c r="AG396" s="96" t="n"/>
      <c r="AH396" s="96" t="n"/>
      <c r="AI396" s="96" t="n"/>
      <c r="AJ396" s="96" t="n"/>
      <c r="AK396" s="96" t="n"/>
      <c r="AL396" s="96" t="n"/>
      <c r="AM396" s="96" t="n"/>
      <c r="AN396" s="96" t="n"/>
      <c r="AO396" s="96" t="n"/>
      <c r="AP396" s="96" t="n"/>
      <c r="AQ396" s="96" t="n"/>
      <c r="AR396" s="96" t="n"/>
      <c r="AS396" s="96" t="n"/>
      <c r="AT396" s="96" t="n"/>
      <c r="AU396" s="96" t="n"/>
      <c r="AV396" s="96" t="n"/>
      <c r="AW396" s="96" t="n"/>
      <c r="AX396" s="96" t="n"/>
      <c r="AY396" s="96" t="n"/>
      <c r="AZ396" s="96" t="n"/>
      <c r="BA396" s="96" t="n"/>
      <c r="BB396" s="96" t="n"/>
    </row>
    <row r="397" ht="22" customHeight="1" s="110">
      <c r="A397" s="97" t="n"/>
      <c r="B397" s="97" t="n"/>
      <c r="C397" s="97" t="n"/>
      <c r="D397" s="97" t="n"/>
      <c r="E397" s="97" t="n"/>
      <c r="F397" s="97" t="n"/>
      <c r="G397" s="97" t="n"/>
      <c r="H397" s="97" t="n"/>
      <c r="I397" s="97" t="n"/>
      <c r="J397" s="97" t="n"/>
      <c r="L397" s="97" t="n"/>
      <c r="M397" s="97" t="n"/>
      <c r="N397" s="97" t="n"/>
      <c r="O397" s="97" t="n"/>
      <c r="Q397" s="97" t="n"/>
      <c r="R397" s="97" t="n"/>
      <c r="S397" s="97" t="n"/>
      <c r="T397" s="97" t="n"/>
      <c r="U397" s="97" t="n"/>
      <c r="V397" s="97" t="n"/>
      <c r="W397" s="97" t="n"/>
      <c r="X397" s="97" t="n"/>
      <c r="Y397" s="97" t="n"/>
      <c r="Z397" s="97" t="n"/>
      <c r="AA397" s="97" t="n"/>
      <c r="AB397" s="97" t="n"/>
      <c r="AC397" s="97" t="n"/>
      <c r="AD397" s="97" t="n"/>
      <c r="AE397" s="97" t="n"/>
      <c r="AF397" s="97" t="n"/>
      <c r="AG397" s="97" t="n"/>
      <c r="AH397" s="97" t="n"/>
      <c r="AI397" s="97" t="n"/>
      <c r="AJ397" s="97" t="n"/>
      <c r="AK397" s="97" t="n"/>
      <c r="AL397" s="97" t="n"/>
      <c r="AM397" s="97" t="n"/>
      <c r="AN397" s="97" t="n"/>
      <c r="AO397" s="97" t="n"/>
      <c r="AP397" s="97" t="n"/>
      <c r="AQ397" s="97" t="n"/>
      <c r="AR397" s="97" t="n"/>
      <c r="AS397" s="97" t="n"/>
      <c r="AT397" s="97" t="n"/>
      <c r="AU397" s="97" t="n"/>
      <c r="AV397" s="97" t="n"/>
      <c r="AW397" s="97" t="n"/>
      <c r="AX397" s="97" t="n"/>
      <c r="AY397" s="97" t="n"/>
      <c r="AZ397" s="97" t="n"/>
      <c r="BA397" s="97" t="n"/>
      <c r="BB397" s="97" t="n"/>
    </row>
    <row r="398" ht="22" customHeight="1" s="110">
      <c r="A398" s="96" t="n"/>
      <c r="B398" s="96" t="n"/>
      <c r="C398" s="96" t="n"/>
      <c r="D398" s="96" t="n"/>
      <c r="E398" s="96" t="n"/>
      <c r="F398" s="96" t="n"/>
      <c r="G398" s="96" t="n"/>
      <c r="H398" s="96" t="n"/>
      <c r="I398" s="96" t="n"/>
      <c r="J398" s="96" t="n"/>
      <c r="L398" s="96" t="n"/>
      <c r="M398" s="96" t="n"/>
      <c r="N398" s="96" t="n"/>
      <c r="O398" s="96" t="n"/>
      <c r="Q398" s="96" t="n"/>
      <c r="R398" s="96" t="n"/>
      <c r="S398" s="96" t="n"/>
      <c r="T398" s="96" t="n"/>
      <c r="U398" s="96" t="n"/>
      <c r="V398" s="96" t="n"/>
      <c r="W398" s="96" t="n"/>
      <c r="X398" s="96" t="n"/>
      <c r="Y398" s="96" t="n"/>
      <c r="Z398" s="96" t="n"/>
      <c r="AA398" s="96" t="n"/>
      <c r="AB398" s="96" t="n"/>
      <c r="AC398" s="96" t="n"/>
      <c r="AD398" s="96" t="n"/>
      <c r="AE398" s="96" t="n"/>
      <c r="AF398" s="96" t="n"/>
      <c r="AG398" s="96" t="n"/>
      <c r="AH398" s="96" t="n"/>
      <c r="AI398" s="96" t="n"/>
      <c r="AJ398" s="96" t="n"/>
      <c r="AK398" s="96" t="n"/>
      <c r="AL398" s="96" t="n"/>
      <c r="AM398" s="96" t="n"/>
      <c r="AN398" s="96" t="n"/>
      <c r="AO398" s="96" t="n"/>
      <c r="AP398" s="96" t="n"/>
      <c r="AQ398" s="96" t="n"/>
      <c r="AR398" s="96" t="n"/>
      <c r="AS398" s="96" t="n"/>
      <c r="AT398" s="96" t="n"/>
      <c r="AU398" s="96" t="n"/>
      <c r="AV398" s="96" t="n"/>
      <c r="AW398" s="96" t="n"/>
      <c r="AX398" s="96" t="n"/>
      <c r="AY398" s="96" t="n"/>
      <c r="AZ398" s="96" t="n"/>
      <c r="BA398" s="96" t="n"/>
      <c r="BB398" s="96" t="n"/>
    </row>
    <row r="399" ht="22" customHeight="1" s="110">
      <c r="A399" s="97" t="n"/>
      <c r="B399" s="97" t="n"/>
      <c r="C399" s="97" t="n"/>
      <c r="D399" s="97" t="n"/>
      <c r="E399" s="97" t="n"/>
      <c r="F399" s="97" t="n"/>
      <c r="G399" s="97" t="n"/>
      <c r="H399" s="97" t="n"/>
      <c r="I399" s="97" t="n"/>
      <c r="J399" s="97" t="n"/>
      <c r="L399" s="97" t="n"/>
      <c r="M399" s="97" t="n"/>
      <c r="N399" s="97" t="n"/>
      <c r="O399" s="97" t="n"/>
      <c r="Q399" s="97" t="n"/>
      <c r="R399" s="97" t="n"/>
      <c r="S399" s="97" t="n"/>
      <c r="T399" s="97" t="n"/>
      <c r="U399" s="97" t="n"/>
      <c r="V399" s="97" t="n"/>
      <c r="W399" s="97" t="n"/>
      <c r="X399" s="97" t="n"/>
      <c r="Y399" s="97" t="n"/>
      <c r="Z399" s="97" t="n"/>
      <c r="AA399" s="97" t="n"/>
      <c r="AB399" s="97" t="n"/>
      <c r="AC399" s="97" t="n"/>
      <c r="AD399" s="97" t="n"/>
      <c r="AE399" s="97" t="n"/>
      <c r="AF399" s="97" t="n"/>
      <c r="AG399" s="97" t="n"/>
      <c r="AH399" s="97" t="n"/>
      <c r="AI399" s="97" t="n"/>
      <c r="AJ399" s="97" t="n"/>
      <c r="AK399" s="97" t="n"/>
      <c r="AL399" s="97" t="n"/>
      <c r="AM399" s="97" t="n"/>
      <c r="AN399" s="97" t="n"/>
      <c r="AO399" s="97" t="n"/>
      <c r="AP399" s="97" t="n"/>
      <c r="AQ399" s="97" t="n"/>
      <c r="AR399" s="97" t="n"/>
      <c r="AS399" s="97" t="n"/>
      <c r="AT399" s="97" t="n"/>
      <c r="AU399" s="97" t="n"/>
      <c r="AV399" s="97" t="n"/>
      <c r="AW399" s="97" t="n"/>
      <c r="AX399" s="97" t="n"/>
      <c r="AY399" s="97" t="n"/>
      <c r="AZ399" s="97" t="n"/>
      <c r="BA399" s="97" t="n"/>
      <c r="BB399" s="97" t="n"/>
    </row>
    <row r="400" ht="22" customHeight="1" s="110">
      <c r="A400" s="96" t="n"/>
      <c r="B400" s="96" t="n"/>
      <c r="C400" s="96" t="n"/>
      <c r="D400" s="96" t="n"/>
      <c r="E400" s="96" t="n"/>
      <c r="F400" s="96" t="n"/>
      <c r="G400" s="96" t="n"/>
      <c r="H400" s="96" t="n"/>
      <c r="I400" s="96" t="n"/>
      <c r="J400" s="96" t="n"/>
      <c r="L400" s="96" t="n"/>
      <c r="M400" s="96" t="n"/>
      <c r="N400" s="96" t="n"/>
      <c r="O400" s="96" t="n"/>
      <c r="Q400" s="96" t="n"/>
      <c r="R400" s="96" t="n"/>
      <c r="S400" s="96" t="n"/>
      <c r="T400" s="96" t="n"/>
      <c r="U400" s="96" t="n"/>
      <c r="V400" s="96" t="n"/>
      <c r="W400" s="96" t="n"/>
      <c r="X400" s="96" t="n"/>
      <c r="Y400" s="96" t="n"/>
      <c r="Z400" s="96" t="n"/>
      <c r="AA400" s="96" t="n"/>
      <c r="AB400" s="96" t="n"/>
      <c r="AC400" s="96" t="n"/>
      <c r="AD400" s="96" t="n"/>
      <c r="AE400" s="96" t="n"/>
      <c r="AF400" s="96" t="n"/>
      <c r="AG400" s="96" t="n"/>
      <c r="AH400" s="96" t="n"/>
      <c r="AI400" s="96" t="n"/>
      <c r="AJ400" s="96" t="n"/>
      <c r="AK400" s="96" t="n"/>
      <c r="AL400" s="96" t="n"/>
      <c r="AM400" s="96" t="n"/>
      <c r="AN400" s="96" t="n"/>
      <c r="AO400" s="96" t="n"/>
      <c r="AP400" s="96" t="n"/>
      <c r="AQ400" s="96" t="n"/>
      <c r="AR400" s="96" t="n"/>
      <c r="AS400" s="96" t="n"/>
      <c r="AT400" s="96" t="n"/>
      <c r="AU400" s="96" t="n"/>
      <c r="AV400" s="96" t="n"/>
      <c r="AW400" s="96" t="n"/>
      <c r="AX400" s="96" t="n"/>
      <c r="AY400" s="96" t="n"/>
      <c r="AZ400" s="96" t="n"/>
      <c r="BA400" s="96" t="n"/>
      <c r="BB400" s="96" t="n"/>
    </row>
    <row r="401" ht="22" customHeight="1" s="110">
      <c r="A401" s="97" t="n"/>
      <c r="B401" s="97" t="n"/>
      <c r="C401" s="97" t="n"/>
      <c r="D401" s="97" t="n"/>
      <c r="E401" s="97" t="n"/>
      <c r="F401" s="97" t="n"/>
      <c r="G401" s="97" t="n"/>
      <c r="H401" s="97" t="n"/>
      <c r="I401" s="97" t="n"/>
      <c r="J401" s="97" t="n"/>
      <c r="L401" s="97" t="n"/>
      <c r="M401" s="97" t="n"/>
      <c r="N401" s="97" t="n"/>
      <c r="O401" s="97" t="n"/>
      <c r="Q401" s="97" t="n"/>
      <c r="R401" s="97" t="n"/>
      <c r="S401" s="97" t="n"/>
      <c r="T401" s="97" t="n"/>
      <c r="U401" s="97" t="n"/>
      <c r="V401" s="97" t="n"/>
      <c r="W401" s="97" t="n"/>
      <c r="X401" s="97" t="n"/>
      <c r="Y401" s="97" t="n"/>
      <c r="Z401" s="97" t="n"/>
      <c r="AA401" s="97" t="n"/>
      <c r="AB401" s="97" t="n"/>
      <c r="AC401" s="97" t="n"/>
      <c r="AD401" s="97" t="n"/>
      <c r="AE401" s="97" t="n"/>
      <c r="AF401" s="97" t="n"/>
      <c r="AG401" s="97" t="n"/>
      <c r="AH401" s="97" t="n"/>
      <c r="AI401" s="97" t="n"/>
      <c r="AJ401" s="97" t="n"/>
      <c r="AK401" s="97" t="n"/>
      <c r="AL401" s="97" t="n"/>
      <c r="AM401" s="97" t="n"/>
      <c r="AN401" s="97" t="n"/>
      <c r="AO401" s="97" t="n"/>
      <c r="AP401" s="97" t="n"/>
      <c r="AQ401" s="97" t="n"/>
      <c r="AR401" s="97" t="n"/>
      <c r="AS401" s="97" t="n"/>
      <c r="AT401" s="97" t="n"/>
      <c r="AU401" s="97" t="n"/>
      <c r="AV401" s="97" t="n"/>
      <c r="AW401" s="97" t="n"/>
      <c r="AX401" s="97" t="n"/>
      <c r="AY401" s="97" t="n"/>
      <c r="AZ401" s="97" t="n"/>
      <c r="BA401" s="97" t="n"/>
      <c r="BB401" s="97" t="n"/>
    </row>
    <row r="402" ht="22" customHeight="1" s="110">
      <c r="A402" s="96" t="n"/>
      <c r="B402" s="96" t="n"/>
      <c r="C402" s="96" t="n"/>
      <c r="D402" s="96" t="n"/>
      <c r="E402" s="96" t="n"/>
      <c r="F402" s="96" t="n"/>
      <c r="G402" s="96" t="n"/>
      <c r="H402" s="96" t="n"/>
      <c r="I402" s="96" t="n"/>
      <c r="J402" s="96" t="n"/>
      <c r="L402" s="96" t="n"/>
      <c r="M402" s="96" t="n"/>
      <c r="N402" s="96" t="n"/>
      <c r="O402" s="96" t="n"/>
      <c r="Q402" s="96" t="n"/>
      <c r="R402" s="96" t="n"/>
      <c r="S402" s="96" t="n"/>
      <c r="T402" s="96" t="n"/>
      <c r="U402" s="96" t="n"/>
      <c r="V402" s="96" t="n"/>
      <c r="W402" s="96" t="n"/>
      <c r="X402" s="96" t="n"/>
      <c r="Y402" s="96" t="n"/>
      <c r="Z402" s="96" t="n"/>
      <c r="AA402" s="96" t="n"/>
      <c r="AB402" s="96" t="n"/>
      <c r="AC402" s="96" t="n"/>
      <c r="AD402" s="96" t="n"/>
      <c r="AE402" s="96" t="n"/>
      <c r="AF402" s="96" t="n"/>
      <c r="AG402" s="96" t="n"/>
      <c r="AH402" s="96" t="n"/>
      <c r="AI402" s="96" t="n"/>
      <c r="AJ402" s="96" t="n"/>
      <c r="AK402" s="96" t="n"/>
      <c r="AL402" s="96" t="n"/>
      <c r="AM402" s="96" t="n"/>
      <c r="AN402" s="96" t="n"/>
      <c r="AO402" s="96" t="n"/>
      <c r="AP402" s="96" t="n"/>
      <c r="AQ402" s="96" t="n"/>
      <c r="AR402" s="96" t="n"/>
      <c r="AS402" s="96" t="n"/>
      <c r="AT402" s="96" t="n"/>
      <c r="AU402" s="96" t="n"/>
      <c r="AV402" s="96" t="n"/>
      <c r="AW402" s="96" t="n"/>
      <c r="AX402" s="96" t="n"/>
      <c r="AY402" s="96" t="n"/>
      <c r="AZ402" s="96" t="n"/>
      <c r="BA402" s="96" t="n"/>
      <c r="BB402" s="96" t="n"/>
    </row>
    <row r="403" ht="22" customHeight="1" s="110">
      <c r="A403" s="97" t="n"/>
      <c r="B403" s="97" t="n"/>
      <c r="C403" s="97" t="n"/>
      <c r="D403" s="97" t="n"/>
      <c r="E403" s="97" t="n"/>
      <c r="F403" s="97" t="n"/>
      <c r="G403" s="97" t="n"/>
      <c r="H403" s="97" t="n"/>
      <c r="I403" s="97" t="n"/>
      <c r="J403" s="97" t="n"/>
      <c r="L403" s="97" t="n"/>
      <c r="M403" s="97" t="n"/>
      <c r="N403" s="97" t="n"/>
      <c r="O403" s="97" t="n"/>
      <c r="Q403" s="97" t="n"/>
      <c r="R403" s="97" t="n"/>
      <c r="S403" s="97" t="n"/>
      <c r="T403" s="97" t="n"/>
      <c r="U403" s="97" t="n"/>
      <c r="V403" s="97" t="n"/>
      <c r="W403" s="97" t="n"/>
      <c r="X403" s="97" t="n"/>
      <c r="Y403" s="97" t="n"/>
      <c r="Z403" s="97" t="n"/>
      <c r="AA403" s="97" t="n"/>
      <c r="AB403" s="97" t="n"/>
      <c r="AC403" s="97" t="n"/>
      <c r="AD403" s="97" t="n"/>
      <c r="AE403" s="97" t="n"/>
      <c r="AF403" s="97" t="n"/>
      <c r="AG403" s="97" t="n"/>
      <c r="AH403" s="97" t="n"/>
      <c r="AI403" s="97" t="n"/>
      <c r="AJ403" s="97" t="n"/>
      <c r="AK403" s="97" t="n"/>
      <c r="AL403" s="97" t="n"/>
      <c r="AM403" s="97" t="n"/>
      <c r="AN403" s="97" t="n"/>
      <c r="AO403" s="97" t="n"/>
      <c r="AP403" s="97" t="n"/>
      <c r="AQ403" s="97" t="n"/>
      <c r="AR403" s="97" t="n"/>
      <c r="AS403" s="97" t="n"/>
      <c r="AT403" s="97" t="n"/>
      <c r="AU403" s="97" t="n"/>
      <c r="AV403" s="97" t="n"/>
      <c r="AW403" s="97" t="n"/>
      <c r="AX403" s="97" t="n"/>
      <c r="AY403" s="97" t="n"/>
      <c r="AZ403" s="97" t="n"/>
      <c r="BA403" s="97" t="n"/>
      <c r="BB403" s="97" t="n"/>
    </row>
    <row r="404" ht="22" customHeight="1" s="110">
      <c r="A404" s="96" t="n"/>
      <c r="B404" s="96" t="n"/>
      <c r="C404" s="96" t="n"/>
      <c r="D404" s="96" t="n"/>
      <c r="E404" s="96" t="n"/>
      <c r="F404" s="96" t="n"/>
      <c r="G404" s="96" t="n"/>
      <c r="H404" s="96" t="n"/>
      <c r="I404" s="96" t="n"/>
      <c r="J404" s="96" t="n"/>
      <c r="L404" s="96" t="n"/>
      <c r="M404" s="96" t="n"/>
      <c r="N404" s="96" t="n"/>
      <c r="O404" s="96" t="n"/>
      <c r="Q404" s="96" t="n"/>
      <c r="R404" s="96" t="n"/>
      <c r="S404" s="96" t="n"/>
      <c r="T404" s="96" t="n"/>
      <c r="U404" s="96" t="n"/>
      <c r="V404" s="96" t="n"/>
      <c r="W404" s="96" t="n"/>
      <c r="X404" s="96" t="n"/>
      <c r="Y404" s="96" t="n"/>
      <c r="Z404" s="96" t="n"/>
      <c r="AA404" s="96" t="n"/>
      <c r="AB404" s="96" t="n"/>
      <c r="AC404" s="96" t="n"/>
      <c r="AD404" s="96" t="n"/>
      <c r="AE404" s="96" t="n"/>
      <c r="AF404" s="96" t="n"/>
      <c r="AG404" s="96" t="n"/>
      <c r="AH404" s="96" t="n"/>
      <c r="AI404" s="96" t="n"/>
      <c r="AJ404" s="96" t="n"/>
      <c r="AK404" s="96" t="n"/>
      <c r="AL404" s="96" t="n"/>
      <c r="AM404" s="96" t="n"/>
      <c r="AN404" s="96" t="n"/>
      <c r="AO404" s="96" t="n"/>
      <c r="AP404" s="96" t="n"/>
      <c r="AQ404" s="96" t="n"/>
      <c r="AR404" s="96" t="n"/>
      <c r="AS404" s="96" t="n"/>
      <c r="AT404" s="96" t="n"/>
      <c r="AU404" s="96" t="n"/>
      <c r="AV404" s="96" t="n"/>
      <c r="AW404" s="96" t="n"/>
      <c r="AX404" s="96" t="n"/>
      <c r="AY404" s="96" t="n"/>
      <c r="AZ404" s="96" t="n"/>
      <c r="BA404" s="96" t="n"/>
      <c r="BB404" s="96" t="n"/>
    </row>
    <row r="405" ht="22" customHeight="1" s="110">
      <c r="A405" s="97" t="n"/>
      <c r="B405" s="97" t="n"/>
      <c r="C405" s="97" t="n"/>
      <c r="D405" s="97" t="n"/>
      <c r="E405" s="97" t="n"/>
      <c r="F405" s="97" t="n"/>
      <c r="G405" s="97" t="n"/>
      <c r="H405" s="97" t="n"/>
      <c r="I405" s="97" t="n"/>
      <c r="J405" s="97" t="n"/>
      <c r="L405" s="97" t="n"/>
      <c r="M405" s="97" t="n"/>
      <c r="N405" s="97" t="n"/>
      <c r="O405" s="97" t="n"/>
      <c r="Q405" s="97" t="n"/>
      <c r="R405" s="97" t="n"/>
      <c r="S405" s="97" t="n"/>
      <c r="T405" s="97" t="n"/>
      <c r="U405" s="97" t="n"/>
      <c r="V405" s="97" t="n"/>
      <c r="W405" s="97" t="n"/>
      <c r="X405" s="97" t="n"/>
      <c r="Y405" s="97" t="n"/>
      <c r="Z405" s="97" t="n"/>
      <c r="AA405" s="97" t="n"/>
      <c r="AB405" s="97" t="n"/>
      <c r="AC405" s="97" t="n"/>
      <c r="AD405" s="97" t="n"/>
      <c r="AE405" s="97" t="n"/>
      <c r="AF405" s="97" t="n"/>
      <c r="AG405" s="97" t="n"/>
      <c r="AH405" s="97" t="n"/>
      <c r="AI405" s="97" t="n"/>
      <c r="AJ405" s="97" t="n"/>
      <c r="AK405" s="97" t="n"/>
      <c r="AL405" s="97" t="n"/>
      <c r="AM405" s="97" t="n"/>
      <c r="AN405" s="97" t="n"/>
      <c r="AO405" s="97" t="n"/>
      <c r="AP405" s="97" t="n"/>
      <c r="AQ405" s="97" t="n"/>
      <c r="AR405" s="97" t="n"/>
      <c r="AS405" s="97" t="n"/>
      <c r="AT405" s="97" t="n"/>
      <c r="AU405" s="97" t="n"/>
      <c r="AV405" s="97" t="n"/>
      <c r="AW405" s="97" t="n"/>
      <c r="AX405" s="97" t="n"/>
      <c r="AY405" s="97" t="n"/>
      <c r="AZ405" s="97" t="n"/>
      <c r="BA405" s="97" t="n"/>
      <c r="BB405" s="97" t="n"/>
    </row>
    <row r="406" ht="22" customHeight="1" s="110">
      <c r="A406" s="96" t="n"/>
      <c r="B406" s="96" t="n"/>
      <c r="C406" s="96" t="n"/>
      <c r="D406" s="96" t="n"/>
      <c r="E406" s="96" t="n"/>
      <c r="F406" s="96" t="n"/>
      <c r="G406" s="96" t="n"/>
      <c r="H406" s="96" t="n"/>
      <c r="I406" s="96" t="n"/>
      <c r="J406" s="96" t="n"/>
      <c r="L406" s="96" t="n"/>
      <c r="M406" s="96" t="n"/>
      <c r="N406" s="96" t="n"/>
      <c r="O406" s="96" t="n"/>
      <c r="Q406" s="96" t="n"/>
      <c r="R406" s="96" t="n"/>
      <c r="S406" s="96" t="n"/>
      <c r="T406" s="96" t="n"/>
      <c r="U406" s="96" t="n"/>
      <c r="V406" s="96" t="n"/>
      <c r="W406" s="96" t="n"/>
      <c r="X406" s="96" t="n"/>
      <c r="Y406" s="96" t="n"/>
      <c r="Z406" s="96" t="n"/>
      <c r="AA406" s="96" t="n"/>
      <c r="AB406" s="96" t="n"/>
      <c r="AC406" s="96" t="n"/>
      <c r="AD406" s="96" t="n"/>
      <c r="AE406" s="96" t="n"/>
      <c r="AF406" s="96" t="n"/>
      <c r="AG406" s="96" t="n"/>
      <c r="AH406" s="96" t="n"/>
      <c r="AI406" s="96" t="n"/>
      <c r="AJ406" s="96" t="n"/>
      <c r="AK406" s="96" t="n"/>
      <c r="AL406" s="96" t="n"/>
      <c r="AM406" s="96" t="n"/>
      <c r="AN406" s="96" t="n"/>
      <c r="AO406" s="96" t="n"/>
      <c r="AP406" s="96" t="n"/>
      <c r="AQ406" s="96" t="n"/>
      <c r="AR406" s="96" t="n"/>
      <c r="AS406" s="96" t="n"/>
      <c r="AT406" s="96" t="n"/>
      <c r="AU406" s="96" t="n"/>
      <c r="AV406" s="96" t="n"/>
      <c r="AW406" s="96" t="n"/>
      <c r="AX406" s="96" t="n"/>
      <c r="AY406" s="96" t="n"/>
      <c r="AZ406" s="96" t="n"/>
      <c r="BA406" s="96" t="n"/>
      <c r="BB406" s="96" t="n"/>
    </row>
    <row r="407" ht="22" customHeight="1" s="110">
      <c r="A407" s="97" t="n"/>
      <c r="B407" s="97" t="n"/>
      <c r="C407" s="97" t="n"/>
      <c r="D407" s="97" t="n"/>
      <c r="E407" s="97" t="n"/>
      <c r="F407" s="97" t="n"/>
      <c r="G407" s="97" t="n"/>
      <c r="H407" s="97" t="n"/>
      <c r="I407" s="97" t="n"/>
      <c r="J407" s="97" t="n"/>
      <c r="L407" s="97" t="n"/>
      <c r="M407" s="97" t="n"/>
      <c r="N407" s="97" t="n"/>
      <c r="O407" s="97" t="n"/>
      <c r="Q407" s="97" t="n"/>
      <c r="R407" s="97" t="n"/>
      <c r="S407" s="97" t="n"/>
      <c r="T407" s="97" t="n"/>
      <c r="U407" s="97" t="n"/>
      <c r="V407" s="97" t="n"/>
      <c r="W407" s="97" t="n"/>
      <c r="X407" s="97" t="n"/>
      <c r="Y407" s="97" t="n"/>
      <c r="Z407" s="97" t="n"/>
      <c r="AA407" s="97" t="n"/>
      <c r="AB407" s="97" t="n"/>
      <c r="AC407" s="97" t="n"/>
      <c r="AD407" s="97" t="n"/>
      <c r="AE407" s="97" t="n"/>
      <c r="AF407" s="97" t="n"/>
      <c r="AG407" s="97" t="n"/>
      <c r="AH407" s="97" t="n"/>
      <c r="AI407" s="97" t="n"/>
      <c r="AJ407" s="97" t="n"/>
      <c r="AK407" s="97" t="n"/>
      <c r="AL407" s="97" t="n"/>
      <c r="AM407" s="97" t="n"/>
      <c r="AN407" s="97" t="n"/>
      <c r="AO407" s="97" t="n"/>
      <c r="AP407" s="97" t="n"/>
      <c r="AQ407" s="97" t="n"/>
      <c r="AR407" s="97" t="n"/>
      <c r="AS407" s="97" t="n"/>
      <c r="AT407" s="97" t="n"/>
      <c r="AU407" s="97" t="n"/>
      <c r="AV407" s="97" t="n"/>
      <c r="AW407" s="97" t="n"/>
      <c r="AX407" s="97" t="n"/>
      <c r="AY407" s="97" t="n"/>
      <c r="AZ407" s="97" t="n"/>
      <c r="BA407" s="97" t="n"/>
      <c r="BB407" s="97" t="n"/>
    </row>
    <row r="408" ht="22" customHeight="1" s="110">
      <c r="A408" s="96" t="n"/>
      <c r="B408" s="96" t="n"/>
      <c r="C408" s="96" t="n"/>
      <c r="D408" s="96" t="n"/>
      <c r="E408" s="96" t="n"/>
      <c r="F408" s="96" t="n"/>
      <c r="G408" s="96" t="n"/>
      <c r="H408" s="96" t="n"/>
      <c r="I408" s="96" t="n"/>
      <c r="J408" s="96" t="n"/>
      <c r="L408" s="96" t="n"/>
      <c r="M408" s="96" t="n"/>
      <c r="N408" s="96" t="n"/>
      <c r="O408" s="96" t="n"/>
      <c r="Q408" s="96" t="n"/>
      <c r="R408" s="96" t="n"/>
      <c r="S408" s="96" t="n"/>
      <c r="T408" s="96" t="n"/>
      <c r="U408" s="96" t="n"/>
      <c r="V408" s="96" t="n"/>
      <c r="W408" s="96" t="n"/>
      <c r="X408" s="96" t="n"/>
      <c r="Y408" s="96" t="n"/>
      <c r="Z408" s="96" t="n"/>
      <c r="AA408" s="96" t="n"/>
      <c r="AB408" s="96" t="n"/>
      <c r="AC408" s="96" t="n"/>
      <c r="AD408" s="96" t="n"/>
      <c r="AE408" s="96" t="n"/>
      <c r="AF408" s="96" t="n"/>
      <c r="AG408" s="96" t="n"/>
      <c r="AH408" s="96" t="n"/>
      <c r="AI408" s="96" t="n"/>
      <c r="AJ408" s="96" t="n"/>
      <c r="AK408" s="96" t="n"/>
      <c r="AL408" s="96" t="n"/>
      <c r="AM408" s="96" t="n"/>
      <c r="AN408" s="96" t="n"/>
      <c r="AO408" s="96" t="n"/>
      <c r="AP408" s="96" t="n"/>
      <c r="AQ408" s="96" t="n"/>
      <c r="AR408" s="96" t="n"/>
      <c r="AS408" s="96" t="n"/>
      <c r="AT408" s="96" t="n"/>
      <c r="AU408" s="96" t="n"/>
      <c r="AV408" s="96" t="n"/>
      <c r="AW408" s="96" t="n"/>
      <c r="AX408" s="96" t="n"/>
      <c r="AY408" s="96" t="n"/>
      <c r="AZ408" s="96" t="n"/>
      <c r="BA408" s="96" t="n"/>
      <c r="BB408" s="96" t="n"/>
    </row>
    <row r="409" ht="22" customHeight="1" s="110">
      <c r="A409" s="97" t="n"/>
      <c r="B409" s="97" t="n"/>
      <c r="C409" s="97" t="n"/>
      <c r="D409" s="97" t="n"/>
      <c r="E409" s="97" t="n"/>
      <c r="F409" s="97" t="n"/>
      <c r="G409" s="97" t="n"/>
      <c r="H409" s="97" t="n"/>
      <c r="I409" s="97" t="n"/>
      <c r="J409" s="97" t="n"/>
      <c r="L409" s="97" t="n"/>
      <c r="M409" s="97" t="n"/>
      <c r="N409" s="97" t="n"/>
      <c r="O409" s="97" t="n"/>
      <c r="Q409" s="97" t="n"/>
      <c r="R409" s="97" t="n"/>
      <c r="S409" s="97" t="n"/>
      <c r="T409" s="97" t="n"/>
      <c r="U409" s="97" t="n"/>
      <c r="V409" s="97" t="n"/>
      <c r="W409" s="97" t="n"/>
      <c r="X409" s="97" t="n"/>
      <c r="Y409" s="97" t="n"/>
      <c r="Z409" s="97" t="n"/>
      <c r="AA409" s="97" t="n"/>
      <c r="AB409" s="97" t="n"/>
      <c r="AC409" s="97" t="n"/>
      <c r="AD409" s="97" t="n"/>
      <c r="AE409" s="97" t="n"/>
      <c r="AF409" s="97" t="n"/>
      <c r="AG409" s="97" t="n"/>
      <c r="AH409" s="97" t="n"/>
      <c r="AI409" s="97" t="n"/>
      <c r="AJ409" s="97" t="n"/>
      <c r="AK409" s="97" t="n"/>
      <c r="AL409" s="97" t="n"/>
      <c r="AM409" s="97" t="n"/>
      <c r="AN409" s="97" t="n"/>
      <c r="AO409" s="97" t="n"/>
      <c r="AP409" s="97" t="n"/>
      <c r="AQ409" s="97" t="n"/>
      <c r="AR409" s="97" t="n"/>
      <c r="AS409" s="97" t="n"/>
      <c r="AT409" s="97" t="n"/>
      <c r="AU409" s="97" t="n"/>
      <c r="AV409" s="97" t="n"/>
      <c r="AW409" s="97" t="n"/>
      <c r="AX409" s="97" t="n"/>
      <c r="AY409" s="97" t="n"/>
      <c r="AZ409" s="97" t="n"/>
      <c r="BA409" s="97" t="n"/>
      <c r="BB409" s="97" t="n"/>
    </row>
    <row r="410" ht="22" customHeight="1" s="110">
      <c r="A410" s="96" t="n"/>
      <c r="B410" s="96" t="n"/>
      <c r="C410" s="96" t="n"/>
      <c r="D410" s="96" t="n"/>
      <c r="E410" s="96" t="n"/>
      <c r="F410" s="96" t="n"/>
      <c r="G410" s="96" t="n"/>
      <c r="H410" s="96" t="n"/>
      <c r="I410" s="96" t="n"/>
      <c r="J410" s="96" t="n"/>
      <c r="L410" s="96" t="n"/>
      <c r="M410" s="96" t="n"/>
      <c r="N410" s="96" t="n"/>
      <c r="O410" s="96" t="n"/>
      <c r="Q410" s="96" t="n"/>
      <c r="R410" s="96" t="n"/>
      <c r="S410" s="96" t="n"/>
      <c r="T410" s="96" t="n"/>
      <c r="U410" s="96" t="n"/>
      <c r="V410" s="96" t="n"/>
      <c r="W410" s="96" t="n"/>
      <c r="X410" s="96" t="n"/>
      <c r="Y410" s="96" t="n"/>
      <c r="Z410" s="96" t="n"/>
      <c r="AA410" s="96" t="n"/>
      <c r="AB410" s="96" t="n"/>
      <c r="AC410" s="96" t="n"/>
      <c r="AD410" s="96" t="n"/>
      <c r="AE410" s="96" t="n"/>
      <c r="AF410" s="96" t="n"/>
      <c r="AG410" s="96" t="n"/>
      <c r="AH410" s="96" t="n"/>
      <c r="AI410" s="96" t="n"/>
      <c r="AJ410" s="96" t="n"/>
      <c r="AK410" s="96" t="n"/>
      <c r="AL410" s="96" t="n"/>
      <c r="AM410" s="96" t="n"/>
      <c r="AN410" s="96" t="n"/>
      <c r="AO410" s="96" t="n"/>
      <c r="AP410" s="96" t="n"/>
      <c r="AQ410" s="96" t="n"/>
      <c r="AR410" s="96" t="n"/>
      <c r="AS410" s="96" t="n"/>
      <c r="AT410" s="96" t="n"/>
      <c r="AU410" s="96" t="n"/>
      <c r="AV410" s="96" t="n"/>
      <c r="AW410" s="96" t="n"/>
      <c r="AX410" s="96" t="n"/>
      <c r="AY410" s="96" t="n"/>
      <c r="AZ410" s="96" t="n"/>
      <c r="BA410" s="96" t="n"/>
      <c r="BB410" s="96" t="n"/>
    </row>
    <row r="411" ht="22" customHeight="1" s="110">
      <c r="A411" s="97" t="n"/>
      <c r="B411" s="97" t="n"/>
      <c r="C411" s="97" t="n"/>
      <c r="D411" s="97" t="n"/>
      <c r="E411" s="97" t="n"/>
      <c r="F411" s="97" t="n"/>
      <c r="G411" s="97" t="n"/>
      <c r="H411" s="97" t="n"/>
      <c r="I411" s="97" t="n"/>
      <c r="J411" s="97" t="n"/>
      <c r="L411" s="97" t="n"/>
      <c r="M411" s="97" t="n"/>
      <c r="N411" s="97" t="n"/>
      <c r="O411" s="97" t="n"/>
      <c r="Q411" s="97" t="n"/>
      <c r="R411" s="97" t="n"/>
      <c r="S411" s="97" t="n"/>
      <c r="T411" s="97" t="n"/>
      <c r="U411" s="97" t="n"/>
      <c r="V411" s="97" t="n"/>
      <c r="W411" s="97" t="n"/>
      <c r="X411" s="97" t="n"/>
      <c r="Y411" s="97" t="n"/>
      <c r="Z411" s="97" t="n"/>
      <c r="AA411" s="97" t="n"/>
      <c r="AB411" s="97" t="n"/>
      <c r="AC411" s="97" t="n"/>
      <c r="AD411" s="97" t="n"/>
      <c r="AE411" s="97" t="n"/>
      <c r="AF411" s="97" t="n"/>
      <c r="AG411" s="97" t="n"/>
      <c r="AH411" s="97" t="n"/>
      <c r="AI411" s="97" t="n"/>
      <c r="AJ411" s="97" t="n"/>
      <c r="AK411" s="97" t="n"/>
      <c r="AL411" s="97" t="n"/>
      <c r="AM411" s="97" t="n"/>
      <c r="AN411" s="97" t="n"/>
      <c r="AO411" s="97" t="n"/>
      <c r="AP411" s="97" t="n"/>
      <c r="AQ411" s="97" t="n"/>
      <c r="AR411" s="97" t="n"/>
      <c r="AS411" s="97" t="n"/>
      <c r="AT411" s="97" t="n"/>
      <c r="AU411" s="97" t="n"/>
      <c r="AV411" s="97" t="n"/>
      <c r="AW411" s="97" t="n"/>
      <c r="AX411" s="97" t="n"/>
      <c r="AY411" s="97" t="n"/>
      <c r="AZ411" s="97" t="n"/>
      <c r="BA411" s="97" t="n"/>
      <c r="BB411" s="97" t="n"/>
    </row>
    <row r="412" ht="22" customHeight="1" s="110">
      <c r="A412" s="96" t="n"/>
      <c r="B412" s="96" t="n"/>
      <c r="C412" s="96" t="n"/>
      <c r="D412" s="96" t="n"/>
      <c r="E412" s="96" t="n"/>
      <c r="F412" s="96" t="n"/>
      <c r="G412" s="96" t="n"/>
      <c r="H412" s="96" t="n"/>
      <c r="I412" s="96" t="n"/>
      <c r="J412" s="96" t="n"/>
      <c r="L412" s="96" t="n"/>
      <c r="M412" s="96" t="n"/>
      <c r="N412" s="96" t="n"/>
      <c r="O412" s="96" t="n"/>
      <c r="Q412" s="96" t="n"/>
      <c r="R412" s="96" t="n"/>
      <c r="S412" s="96" t="n"/>
      <c r="T412" s="96" t="n"/>
      <c r="U412" s="96" t="n"/>
      <c r="V412" s="96" t="n"/>
      <c r="W412" s="96" t="n"/>
      <c r="X412" s="96" t="n"/>
      <c r="Y412" s="96" t="n"/>
      <c r="Z412" s="96" t="n"/>
      <c r="AA412" s="96" t="n"/>
      <c r="AB412" s="96" t="n"/>
      <c r="AC412" s="96" t="n"/>
      <c r="AD412" s="96" t="n"/>
      <c r="AE412" s="96" t="n"/>
      <c r="AF412" s="96" t="n"/>
      <c r="AG412" s="96" t="n"/>
      <c r="AH412" s="96" t="n"/>
      <c r="AI412" s="96" t="n"/>
      <c r="AJ412" s="96" t="n"/>
      <c r="AK412" s="96" t="n"/>
      <c r="AL412" s="96" t="n"/>
      <c r="AM412" s="96" t="n"/>
      <c r="AN412" s="96" t="n"/>
      <c r="AO412" s="96" t="n"/>
      <c r="AP412" s="96" t="n"/>
      <c r="AQ412" s="96" t="n"/>
      <c r="AR412" s="96" t="n"/>
      <c r="AS412" s="96" t="n"/>
      <c r="AT412" s="96" t="n"/>
      <c r="AU412" s="96" t="n"/>
      <c r="AV412" s="96" t="n"/>
      <c r="AW412" s="96" t="n"/>
      <c r="AX412" s="96" t="n"/>
      <c r="AY412" s="96" t="n"/>
      <c r="AZ412" s="96" t="n"/>
      <c r="BA412" s="96" t="n"/>
      <c r="BB412" s="96" t="n"/>
    </row>
    <row r="413" ht="22" customHeight="1" s="110">
      <c r="A413" s="97" t="n"/>
      <c r="B413" s="97" t="n"/>
      <c r="C413" s="97" t="n"/>
      <c r="D413" s="97" t="n"/>
      <c r="E413" s="97" t="n"/>
      <c r="F413" s="97" t="n"/>
      <c r="G413" s="97" t="n"/>
      <c r="H413" s="97" t="n"/>
      <c r="I413" s="97" t="n"/>
      <c r="J413" s="97" t="n"/>
      <c r="L413" s="97" t="n"/>
      <c r="M413" s="97" t="n"/>
      <c r="N413" s="97" t="n"/>
      <c r="O413" s="97" t="n"/>
      <c r="Q413" s="97" t="n"/>
      <c r="R413" s="97" t="n"/>
      <c r="S413" s="97" t="n"/>
      <c r="T413" s="97" t="n"/>
      <c r="U413" s="97" t="n"/>
      <c r="V413" s="97" t="n"/>
      <c r="W413" s="97" t="n"/>
      <c r="X413" s="97" t="n"/>
      <c r="Y413" s="97" t="n"/>
      <c r="Z413" s="97" t="n"/>
      <c r="AA413" s="97" t="n"/>
      <c r="AB413" s="97" t="n"/>
      <c r="AC413" s="97" t="n"/>
      <c r="AD413" s="97" t="n"/>
      <c r="AE413" s="97" t="n"/>
      <c r="AF413" s="97" t="n"/>
      <c r="AG413" s="97" t="n"/>
      <c r="AH413" s="97" t="n"/>
      <c r="AI413" s="97" t="n"/>
      <c r="AJ413" s="97" t="n"/>
      <c r="AK413" s="97" t="n"/>
      <c r="AL413" s="97" t="n"/>
      <c r="AM413" s="97" t="n"/>
      <c r="AN413" s="97" t="n"/>
      <c r="AO413" s="97" t="n"/>
      <c r="AP413" s="97" t="n"/>
      <c r="AQ413" s="97" t="n"/>
      <c r="AR413" s="97" t="n"/>
      <c r="AS413" s="97" t="n"/>
      <c r="AT413" s="97" t="n"/>
      <c r="AU413" s="97" t="n"/>
      <c r="AV413" s="97" t="n"/>
      <c r="AW413" s="97" t="n"/>
      <c r="AX413" s="97" t="n"/>
      <c r="AY413" s="97" t="n"/>
      <c r="AZ413" s="97" t="n"/>
      <c r="BA413" s="97" t="n"/>
      <c r="BB413" s="97" t="n"/>
    </row>
    <row r="414" ht="22" customHeight="1" s="110">
      <c r="A414" s="96" t="n"/>
      <c r="B414" s="96" t="n"/>
      <c r="C414" s="96" t="n"/>
      <c r="D414" s="96" t="n"/>
      <c r="E414" s="96" t="n"/>
      <c r="F414" s="96" t="n"/>
      <c r="G414" s="96" t="n"/>
      <c r="H414" s="96" t="n"/>
      <c r="I414" s="96" t="n"/>
      <c r="J414" s="96" t="n"/>
      <c r="L414" s="96" t="n"/>
      <c r="M414" s="96" t="n"/>
      <c r="N414" s="96" t="n"/>
      <c r="O414" s="96" t="n"/>
      <c r="Q414" s="96" t="n"/>
      <c r="R414" s="96" t="n"/>
      <c r="S414" s="96" t="n"/>
      <c r="T414" s="96" t="n"/>
      <c r="U414" s="96" t="n"/>
      <c r="V414" s="96" t="n"/>
      <c r="W414" s="96" t="n"/>
      <c r="X414" s="96" t="n"/>
      <c r="Y414" s="96" t="n"/>
      <c r="Z414" s="96" t="n"/>
      <c r="AA414" s="96" t="n"/>
      <c r="AB414" s="96" t="n"/>
      <c r="AC414" s="96" t="n"/>
      <c r="AD414" s="96" t="n"/>
      <c r="AE414" s="96" t="n"/>
      <c r="AF414" s="96" t="n"/>
      <c r="AG414" s="96" t="n"/>
      <c r="AH414" s="96" t="n"/>
      <c r="AI414" s="96" t="n"/>
      <c r="AJ414" s="96" t="n"/>
      <c r="AK414" s="96" t="n"/>
      <c r="AL414" s="96" t="n"/>
      <c r="AM414" s="96" t="n"/>
      <c r="AN414" s="96" t="n"/>
      <c r="AO414" s="96" t="n"/>
      <c r="AP414" s="96" t="n"/>
      <c r="AQ414" s="96" t="n"/>
      <c r="AR414" s="96" t="n"/>
      <c r="AS414" s="96" t="n"/>
      <c r="AT414" s="96" t="n"/>
      <c r="AU414" s="96" t="n"/>
      <c r="AV414" s="96" t="n"/>
      <c r="AW414" s="96" t="n"/>
      <c r="AX414" s="96" t="n"/>
      <c r="AY414" s="96" t="n"/>
      <c r="AZ414" s="96" t="n"/>
      <c r="BA414" s="96" t="n"/>
      <c r="BB414" s="96" t="n"/>
    </row>
    <row r="415" ht="22" customHeight="1" s="110">
      <c r="A415" s="97" t="n"/>
      <c r="B415" s="97" t="n"/>
      <c r="C415" s="97" t="n"/>
      <c r="D415" s="97" t="n"/>
      <c r="E415" s="97" t="n"/>
      <c r="F415" s="97" t="n"/>
      <c r="G415" s="97" t="n"/>
      <c r="H415" s="97" t="n"/>
      <c r="I415" s="97" t="n"/>
      <c r="J415" s="97" t="n"/>
      <c r="L415" s="97" t="n"/>
      <c r="M415" s="97" t="n"/>
      <c r="N415" s="97" t="n"/>
      <c r="O415" s="97" t="n"/>
      <c r="Q415" s="97" t="n"/>
      <c r="R415" s="97" t="n"/>
      <c r="S415" s="97" t="n"/>
      <c r="T415" s="97" t="n"/>
      <c r="U415" s="97" t="n"/>
      <c r="V415" s="97" t="n"/>
      <c r="W415" s="97" t="n"/>
      <c r="X415" s="97" t="n"/>
      <c r="Y415" s="97" t="n"/>
      <c r="Z415" s="97" t="n"/>
      <c r="AA415" s="97" t="n"/>
      <c r="AB415" s="97" t="n"/>
      <c r="AC415" s="97" t="n"/>
      <c r="AD415" s="97" t="n"/>
      <c r="AE415" s="97" t="n"/>
      <c r="AF415" s="97" t="n"/>
      <c r="AG415" s="97" t="n"/>
      <c r="AH415" s="97" t="n"/>
      <c r="AI415" s="97" t="n"/>
      <c r="AJ415" s="97" t="n"/>
      <c r="AK415" s="97" t="n"/>
      <c r="AL415" s="97" t="n"/>
      <c r="AM415" s="97" t="n"/>
      <c r="AN415" s="97" t="n"/>
      <c r="AO415" s="97" t="n"/>
      <c r="AP415" s="97" t="n"/>
      <c r="AQ415" s="97" t="n"/>
      <c r="AR415" s="97" t="n"/>
      <c r="AS415" s="97" t="n"/>
      <c r="AT415" s="97" t="n"/>
      <c r="AU415" s="97" t="n"/>
      <c r="AV415" s="97" t="n"/>
      <c r="AW415" s="97" t="n"/>
      <c r="AX415" s="97" t="n"/>
      <c r="AY415" s="97" t="n"/>
      <c r="AZ415" s="97" t="n"/>
      <c r="BA415" s="97" t="n"/>
      <c r="BB415" s="97" t="n"/>
    </row>
    <row r="416" ht="22" customHeight="1" s="110">
      <c r="A416" s="96" t="n"/>
      <c r="B416" s="96" t="n"/>
      <c r="C416" s="96" t="n"/>
      <c r="D416" s="96" t="n"/>
      <c r="E416" s="96" t="n"/>
      <c r="F416" s="96" t="n"/>
      <c r="G416" s="96" t="n"/>
      <c r="H416" s="96" t="n"/>
      <c r="I416" s="96" t="n"/>
      <c r="J416" s="96" t="n"/>
      <c r="L416" s="96" t="n"/>
      <c r="M416" s="96" t="n"/>
      <c r="N416" s="96" t="n"/>
      <c r="O416" s="96" t="n"/>
      <c r="Q416" s="96" t="n"/>
      <c r="R416" s="96" t="n"/>
      <c r="S416" s="96" t="n"/>
      <c r="T416" s="96" t="n"/>
      <c r="U416" s="96" t="n"/>
      <c r="V416" s="96" t="n"/>
      <c r="W416" s="96" t="n"/>
      <c r="X416" s="96" t="n"/>
      <c r="Y416" s="96" t="n"/>
      <c r="Z416" s="96" t="n"/>
      <c r="AA416" s="96" t="n"/>
      <c r="AB416" s="96" t="n"/>
      <c r="AC416" s="96" t="n"/>
      <c r="AD416" s="96" t="n"/>
      <c r="AE416" s="96" t="n"/>
      <c r="AF416" s="96" t="n"/>
      <c r="AG416" s="96" t="n"/>
      <c r="AH416" s="96" t="n"/>
      <c r="AI416" s="96" t="n"/>
      <c r="AJ416" s="96" t="n"/>
      <c r="AK416" s="96" t="n"/>
      <c r="AL416" s="96" t="n"/>
      <c r="AM416" s="96" t="n"/>
      <c r="AN416" s="96" t="n"/>
      <c r="AO416" s="96" t="n"/>
      <c r="AP416" s="96" t="n"/>
      <c r="AQ416" s="96" t="n"/>
      <c r="AR416" s="96" t="n"/>
      <c r="AS416" s="96" t="n"/>
      <c r="AT416" s="96" t="n"/>
      <c r="AU416" s="96" t="n"/>
      <c r="AV416" s="96" t="n"/>
      <c r="AW416" s="96" t="n"/>
      <c r="AX416" s="96" t="n"/>
      <c r="AY416" s="96" t="n"/>
      <c r="AZ416" s="96" t="n"/>
      <c r="BA416" s="96" t="n"/>
      <c r="BB416" s="96" t="n"/>
    </row>
    <row r="417" ht="22" customHeight="1" s="110">
      <c r="A417" s="97" t="n"/>
      <c r="B417" s="97" t="n"/>
      <c r="C417" s="97" t="n"/>
      <c r="D417" s="97" t="n"/>
      <c r="E417" s="97" t="n"/>
      <c r="F417" s="97" t="n"/>
      <c r="G417" s="97" t="n"/>
      <c r="H417" s="97" t="n"/>
      <c r="I417" s="97" t="n"/>
      <c r="J417" s="97" t="n"/>
      <c r="L417" s="97" t="n"/>
      <c r="M417" s="97" t="n"/>
      <c r="N417" s="97" t="n"/>
      <c r="O417" s="97" t="n"/>
      <c r="Q417" s="97" t="n"/>
      <c r="R417" s="97" t="n"/>
      <c r="S417" s="97" t="n"/>
      <c r="T417" s="97" t="n"/>
      <c r="U417" s="97" t="n"/>
      <c r="V417" s="97" t="n"/>
      <c r="W417" s="97" t="n"/>
      <c r="X417" s="97" t="n"/>
      <c r="Y417" s="97" t="n"/>
      <c r="Z417" s="97" t="n"/>
      <c r="AA417" s="97" t="n"/>
      <c r="AB417" s="97" t="n"/>
      <c r="AC417" s="97" t="n"/>
      <c r="AD417" s="97" t="n"/>
      <c r="AE417" s="97" t="n"/>
      <c r="AF417" s="97" t="n"/>
      <c r="AG417" s="97" t="n"/>
      <c r="AH417" s="97" t="n"/>
      <c r="AI417" s="97" t="n"/>
      <c r="AJ417" s="97" t="n"/>
      <c r="AK417" s="97" t="n"/>
      <c r="AL417" s="97" t="n"/>
      <c r="AM417" s="97" t="n"/>
      <c r="AN417" s="97" t="n"/>
      <c r="AO417" s="97" t="n"/>
      <c r="AP417" s="97" t="n"/>
      <c r="AQ417" s="97" t="n"/>
      <c r="AR417" s="97" t="n"/>
      <c r="AS417" s="97" t="n"/>
      <c r="AT417" s="97" t="n"/>
      <c r="AU417" s="97" t="n"/>
      <c r="AV417" s="97" t="n"/>
      <c r="AW417" s="97" t="n"/>
      <c r="AX417" s="97" t="n"/>
      <c r="AY417" s="97" t="n"/>
      <c r="AZ417" s="97" t="n"/>
      <c r="BA417" s="97" t="n"/>
      <c r="BB417" s="97" t="n"/>
    </row>
    <row r="418" ht="22" customHeight="1" s="110">
      <c r="A418" s="96" t="n"/>
      <c r="B418" s="96" t="n"/>
      <c r="C418" s="96" t="n"/>
      <c r="D418" s="96" t="n"/>
      <c r="E418" s="96" t="n"/>
      <c r="F418" s="96" t="n"/>
      <c r="G418" s="96" t="n"/>
      <c r="H418" s="96" t="n"/>
      <c r="I418" s="96" t="n"/>
      <c r="J418" s="96" t="n"/>
      <c r="L418" s="96" t="n"/>
      <c r="M418" s="96" t="n"/>
      <c r="N418" s="96" t="n"/>
      <c r="O418" s="96" t="n"/>
      <c r="Q418" s="96" t="n"/>
      <c r="R418" s="96" t="n"/>
      <c r="S418" s="96" t="n"/>
      <c r="T418" s="96" t="n"/>
      <c r="U418" s="96" t="n"/>
      <c r="V418" s="96" t="n"/>
      <c r="W418" s="96" t="n"/>
      <c r="X418" s="96" t="n"/>
      <c r="Y418" s="96" t="n"/>
      <c r="Z418" s="96" t="n"/>
      <c r="AA418" s="96" t="n"/>
      <c r="AB418" s="96" t="n"/>
      <c r="AC418" s="96" t="n"/>
      <c r="AD418" s="96" t="n"/>
      <c r="AE418" s="96" t="n"/>
      <c r="AF418" s="96" t="n"/>
      <c r="AG418" s="96" t="n"/>
      <c r="AH418" s="96" t="n"/>
      <c r="AI418" s="96" t="n"/>
      <c r="AJ418" s="96" t="n"/>
      <c r="AK418" s="96" t="n"/>
      <c r="AL418" s="96" t="n"/>
      <c r="AM418" s="96" t="n"/>
      <c r="AN418" s="96" t="n"/>
      <c r="AO418" s="96" t="n"/>
      <c r="AP418" s="96" t="n"/>
      <c r="AQ418" s="96" t="n"/>
      <c r="AR418" s="96" t="n"/>
      <c r="AS418" s="96" t="n"/>
      <c r="AT418" s="96" t="n"/>
      <c r="AU418" s="96" t="n"/>
      <c r="AV418" s="96" t="n"/>
      <c r="AW418" s="96" t="n"/>
      <c r="AX418" s="96" t="n"/>
      <c r="AY418" s="96" t="n"/>
      <c r="AZ418" s="96" t="n"/>
      <c r="BA418" s="96" t="n"/>
      <c r="BB418" s="96" t="n"/>
    </row>
    <row r="419" ht="22" customHeight="1" s="110">
      <c r="A419" s="97" t="n"/>
      <c r="B419" s="97" t="n"/>
      <c r="C419" s="97" t="n"/>
      <c r="D419" s="97" t="n"/>
      <c r="E419" s="97" t="n"/>
      <c r="F419" s="97" t="n"/>
      <c r="G419" s="97" t="n"/>
      <c r="H419" s="97" t="n"/>
      <c r="I419" s="97" t="n"/>
      <c r="J419" s="97" t="n"/>
      <c r="L419" s="97" t="n"/>
      <c r="M419" s="97" t="n"/>
      <c r="N419" s="97" t="n"/>
      <c r="O419" s="97" t="n"/>
      <c r="Q419" s="97" t="n"/>
      <c r="R419" s="97" t="n"/>
      <c r="S419" s="97" t="n"/>
      <c r="T419" s="97" t="n"/>
      <c r="U419" s="97" t="n"/>
      <c r="V419" s="97" t="n"/>
      <c r="W419" s="97" t="n"/>
      <c r="X419" s="97" t="n"/>
      <c r="Y419" s="97" t="n"/>
      <c r="Z419" s="97" t="n"/>
      <c r="AA419" s="97" t="n"/>
      <c r="AB419" s="97" t="n"/>
      <c r="AC419" s="97" t="n"/>
      <c r="AD419" s="97" t="n"/>
      <c r="AE419" s="97" t="n"/>
      <c r="AF419" s="97" t="n"/>
      <c r="AG419" s="97" t="n"/>
      <c r="AH419" s="97" t="n"/>
      <c r="AI419" s="97" t="n"/>
      <c r="AJ419" s="97" t="n"/>
      <c r="AK419" s="97" t="n"/>
      <c r="AL419" s="97" t="n"/>
      <c r="AM419" s="97" t="n"/>
      <c r="AN419" s="97" t="n"/>
      <c r="AO419" s="97" t="n"/>
      <c r="AP419" s="97" t="n"/>
      <c r="AQ419" s="97" t="n"/>
      <c r="AR419" s="97" t="n"/>
      <c r="AS419" s="97" t="n"/>
      <c r="AT419" s="97" t="n"/>
      <c r="AU419" s="97" t="n"/>
      <c r="AV419" s="97" t="n"/>
      <c r="AW419" s="97" t="n"/>
      <c r="AX419" s="97" t="n"/>
      <c r="AY419" s="97" t="n"/>
      <c r="AZ419" s="97" t="n"/>
      <c r="BA419" s="97" t="n"/>
      <c r="BB419" s="97" t="n"/>
    </row>
    <row r="420" ht="22" customHeight="1" s="110">
      <c r="A420" s="96" t="n"/>
      <c r="B420" s="96" t="n"/>
      <c r="C420" s="96" t="n"/>
      <c r="D420" s="96" t="n"/>
      <c r="E420" s="96" t="n"/>
      <c r="F420" s="96" t="n"/>
      <c r="G420" s="96" t="n"/>
      <c r="H420" s="96" t="n"/>
      <c r="I420" s="96" t="n"/>
      <c r="J420" s="96" t="n"/>
      <c r="L420" s="96" t="n"/>
      <c r="M420" s="96" t="n"/>
      <c r="N420" s="96" t="n"/>
      <c r="O420" s="96" t="n"/>
      <c r="Q420" s="96" t="n"/>
      <c r="R420" s="96" t="n"/>
      <c r="S420" s="96" t="n"/>
      <c r="T420" s="96" t="n"/>
      <c r="U420" s="96" t="n"/>
      <c r="V420" s="96" t="n"/>
      <c r="W420" s="96" t="n"/>
      <c r="X420" s="96" t="n"/>
      <c r="Y420" s="96" t="n"/>
      <c r="Z420" s="96" t="n"/>
      <c r="AA420" s="96" t="n"/>
      <c r="AB420" s="96" t="n"/>
      <c r="AC420" s="96" t="n"/>
      <c r="AD420" s="96" t="n"/>
      <c r="AE420" s="96" t="n"/>
      <c r="AF420" s="96" t="n"/>
      <c r="AG420" s="96" t="n"/>
      <c r="AH420" s="96" t="n"/>
      <c r="AI420" s="96" t="n"/>
      <c r="AJ420" s="96" t="n"/>
      <c r="AK420" s="96" t="n"/>
      <c r="AL420" s="96" t="n"/>
      <c r="AM420" s="96" t="n"/>
      <c r="AN420" s="96" t="n"/>
      <c r="AO420" s="96" t="n"/>
      <c r="AP420" s="96" t="n"/>
      <c r="AQ420" s="96" t="n"/>
      <c r="AR420" s="96" t="n"/>
      <c r="AS420" s="96" t="n"/>
      <c r="AT420" s="96" t="n"/>
      <c r="AU420" s="96" t="n"/>
      <c r="AV420" s="96" t="n"/>
      <c r="AW420" s="96" t="n"/>
      <c r="AX420" s="96" t="n"/>
      <c r="AY420" s="96" t="n"/>
      <c r="AZ420" s="96" t="n"/>
      <c r="BA420" s="96" t="n"/>
      <c r="BB420" s="96" t="n"/>
    </row>
    <row r="421" ht="22" customHeight="1" s="110">
      <c r="A421" s="97" t="n"/>
      <c r="B421" s="97" t="n"/>
      <c r="C421" s="97" t="n"/>
      <c r="D421" s="97" t="n"/>
      <c r="E421" s="97" t="n"/>
      <c r="F421" s="97" t="n"/>
      <c r="G421" s="97" t="n"/>
      <c r="H421" s="97" t="n"/>
      <c r="I421" s="97" t="n"/>
      <c r="J421" s="97" t="n"/>
      <c r="L421" s="97" t="n"/>
      <c r="M421" s="97" t="n"/>
      <c r="N421" s="97" t="n"/>
      <c r="O421" s="97" t="n"/>
      <c r="Q421" s="97" t="n"/>
      <c r="R421" s="97" t="n"/>
      <c r="S421" s="97" t="n"/>
      <c r="T421" s="97" t="n"/>
      <c r="U421" s="97" t="n"/>
      <c r="V421" s="97" t="n"/>
      <c r="W421" s="97" t="n"/>
      <c r="X421" s="97" t="n"/>
      <c r="Y421" s="97" t="n"/>
      <c r="Z421" s="97" t="n"/>
      <c r="AA421" s="97" t="n"/>
      <c r="AB421" s="97" t="n"/>
      <c r="AC421" s="97" t="n"/>
      <c r="AD421" s="97" t="n"/>
      <c r="AE421" s="97" t="n"/>
      <c r="AF421" s="97" t="n"/>
      <c r="AG421" s="97" t="n"/>
      <c r="AH421" s="97" t="n"/>
      <c r="AI421" s="97" t="n"/>
      <c r="AJ421" s="97" t="n"/>
      <c r="AK421" s="97" t="n"/>
      <c r="AL421" s="97" t="n"/>
      <c r="AM421" s="97" t="n"/>
      <c r="AN421" s="97" t="n"/>
      <c r="AO421" s="97" t="n"/>
      <c r="AP421" s="97" t="n"/>
      <c r="AQ421" s="97" t="n"/>
      <c r="AR421" s="97" t="n"/>
      <c r="AS421" s="97" t="n"/>
      <c r="AT421" s="97" t="n"/>
      <c r="AU421" s="97" t="n"/>
      <c r="AV421" s="97" t="n"/>
      <c r="AW421" s="97" t="n"/>
      <c r="AX421" s="97" t="n"/>
      <c r="AY421" s="97" t="n"/>
      <c r="AZ421" s="97" t="n"/>
      <c r="BA421" s="97" t="n"/>
      <c r="BB421" s="97" t="n"/>
    </row>
    <row r="422" ht="22" customHeight="1" s="110">
      <c r="A422" s="96" t="n"/>
      <c r="B422" s="96" t="n"/>
      <c r="C422" s="96" t="n"/>
      <c r="D422" s="96" t="n"/>
      <c r="E422" s="96" t="n"/>
      <c r="F422" s="96" t="n"/>
      <c r="G422" s="96" t="n"/>
      <c r="H422" s="96" t="n"/>
      <c r="I422" s="96" t="n"/>
      <c r="J422" s="96" t="n"/>
      <c r="L422" s="96" t="n"/>
      <c r="M422" s="96" t="n"/>
      <c r="N422" s="96" t="n"/>
      <c r="O422" s="96" t="n"/>
      <c r="Q422" s="96" t="n"/>
      <c r="R422" s="96" t="n"/>
      <c r="S422" s="96" t="n"/>
      <c r="T422" s="96" t="n"/>
      <c r="U422" s="96" t="n"/>
      <c r="V422" s="96" t="n"/>
      <c r="W422" s="96" t="n"/>
      <c r="X422" s="96" t="n"/>
      <c r="Y422" s="96" t="n"/>
      <c r="Z422" s="96" t="n"/>
      <c r="AA422" s="96" t="n"/>
      <c r="AB422" s="96" t="n"/>
      <c r="AC422" s="96" t="n"/>
      <c r="AD422" s="96" t="n"/>
      <c r="AE422" s="96" t="n"/>
      <c r="AF422" s="96" t="n"/>
      <c r="AG422" s="96" t="n"/>
      <c r="AH422" s="96" t="n"/>
      <c r="AI422" s="96" t="n"/>
      <c r="AJ422" s="96" t="n"/>
      <c r="AK422" s="96" t="n"/>
      <c r="AL422" s="96" t="n"/>
      <c r="AM422" s="96" t="n"/>
      <c r="AN422" s="96" t="n"/>
      <c r="AO422" s="96" t="n"/>
      <c r="AP422" s="96" t="n"/>
      <c r="AQ422" s="96" t="n"/>
      <c r="AR422" s="96" t="n"/>
      <c r="AS422" s="96" t="n"/>
      <c r="AT422" s="96" t="n"/>
      <c r="AU422" s="96" t="n"/>
      <c r="AV422" s="96" t="n"/>
      <c r="AW422" s="96" t="n"/>
      <c r="AX422" s="96" t="n"/>
      <c r="AY422" s="96" t="n"/>
      <c r="AZ422" s="96" t="n"/>
      <c r="BA422" s="96" t="n"/>
      <c r="BB422" s="96" t="n"/>
    </row>
    <row r="423" ht="22" customHeight="1" s="110">
      <c r="A423" s="97" t="n"/>
      <c r="B423" s="97" t="n"/>
      <c r="C423" s="97" t="n"/>
      <c r="D423" s="97" t="n"/>
      <c r="E423" s="97" t="n"/>
      <c r="F423" s="97" t="n"/>
      <c r="G423" s="97" t="n"/>
      <c r="H423" s="97" t="n"/>
      <c r="I423" s="97" t="n"/>
      <c r="J423" s="97" t="n"/>
      <c r="L423" s="97" t="n"/>
      <c r="M423" s="97" t="n"/>
      <c r="N423" s="97" t="n"/>
      <c r="O423" s="97" t="n"/>
      <c r="Q423" s="97" t="n"/>
      <c r="R423" s="97" t="n"/>
      <c r="S423" s="97" t="n"/>
      <c r="T423" s="97" t="n"/>
      <c r="U423" s="97" t="n"/>
      <c r="V423" s="97" t="n"/>
      <c r="W423" s="97" t="n"/>
      <c r="X423" s="97" t="n"/>
      <c r="Y423" s="97" t="n"/>
      <c r="Z423" s="97" t="n"/>
      <c r="AA423" s="97" t="n"/>
      <c r="AB423" s="97" t="n"/>
      <c r="AC423" s="97" t="n"/>
      <c r="AD423" s="97" t="n"/>
      <c r="AE423" s="97" t="n"/>
      <c r="AF423" s="97" t="n"/>
      <c r="AG423" s="97" t="n"/>
      <c r="AH423" s="97" t="n"/>
      <c r="AI423" s="97" t="n"/>
      <c r="AJ423" s="97" t="n"/>
      <c r="AK423" s="97" t="n"/>
      <c r="AL423" s="97" t="n"/>
      <c r="AM423" s="97" t="n"/>
      <c r="AN423" s="97" t="n"/>
      <c r="AO423" s="97" t="n"/>
      <c r="AP423" s="97" t="n"/>
      <c r="AQ423" s="97" t="n"/>
      <c r="AR423" s="97" t="n"/>
      <c r="AS423" s="97" t="n"/>
      <c r="AT423" s="97" t="n"/>
      <c r="AU423" s="97" t="n"/>
      <c r="AV423" s="97" t="n"/>
      <c r="AW423" s="97" t="n"/>
      <c r="AX423" s="97" t="n"/>
      <c r="AY423" s="97" t="n"/>
      <c r="AZ423" s="97" t="n"/>
      <c r="BA423" s="97" t="n"/>
      <c r="BB423" s="97" t="n"/>
    </row>
    <row r="424" ht="22" customHeight="1" s="110">
      <c r="A424" s="96" t="n"/>
      <c r="B424" s="96" t="n"/>
      <c r="C424" s="96" t="n"/>
      <c r="D424" s="96" t="n"/>
      <c r="E424" s="96" t="n"/>
      <c r="F424" s="96" t="n"/>
      <c r="G424" s="96" t="n"/>
      <c r="H424" s="96" t="n"/>
      <c r="I424" s="96" t="n"/>
      <c r="J424" s="96" t="n"/>
      <c r="L424" s="96" t="n"/>
      <c r="M424" s="96" t="n"/>
      <c r="N424" s="96" t="n"/>
      <c r="O424" s="96" t="n"/>
      <c r="Q424" s="96" t="n"/>
      <c r="R424" s="96" t="n"/>
      <c r="S424" s="96" t="n"/>
      <c r="T424" s="96" t="n"/>
      <c r="U424" s="96" t="n"/>
      <c r="V424" s="96" t="n"/>
      <c r="W424" s="96" t="n"/>
      <c r="X424" s="96" t="n"/>
      <c r="Y424" s="96" t="n"/>
      <c r="Z424" s="96" t="n"/>
      <c r="AA424" s="96" t="n"/>
      <c r="AB424" s="96" t="n"/>
      <c r="AC424" s="96" t="n"/>
      <c r="AD424" s="96" t="n"/>
      <c r="AE424" s="96" t="n"/>
      <c r="AF424" s="96" t="n"/>
      <c r="AG424" s="96" t="n"/>
      <c r="AH424" s="96" t="n"/>
      <c r="AI424" s="96" t="n"/>
      <c r="AJ424" s="96" t="n"/>
      <c r="AK424" s="96" t="n"/>
      <c r="AL424" s="96" t="n"/>
      <c r="AM424" s="96" t="n"/>
      <c r="AN424" s="96" t="n"/>
      <c r="AO424" s="96" t="n"/>
      <c r="AP424" s="96" t="n"/>
      <c r="AQ424" s="96" t="n"/>
      <c r="AR424" s="96" t="n"/>
      <c r="AS424" s="96" t="n"/>
      <c r="AT424" s="96" t="n"/>
      <c r="AU424" s="96" t="n"/>
      <c r="AV424" s="96" t="n"/>
      <c r="AW424" s="96" t="n"/>
      <c r="AX424" s="96" t="n"/>
      <c r="AY424" s="96" t="n"/>
      <c r="AZ424" s="96" t="n"/>
      <c r="BA424" s="96" t="n"/>
      <c r="BB424" s="96" t="n"/>
    </row>
    <row r="425" ht="22" customHeight="1" s="110">
      <c r="A425" s="97" t="n"/>
      <c r="B425" s="97" t="n"/>
      <c r="C425" s="97" t="n"/>
      <c r="D425" s="97" t="n"/>
      <c r="E425" s="97" t="n"/>
      <c r="F425" s="97" t="n"/>
      <c r="G425" s="97" t="n"/>
      <c r="H425" s="97" t="n"/>
      <c r="I425" s="97" t="n"/>
      <c r="J425" s="97" t="n"/>
      <c r="L425" s="97" t="n"/>
      <c r="M425" s="97" t="n"/>
      <c r="N425" s="97" t="n"/>
      <c r="O425" s="97" t="n"/>
      <c r="Q425" s="97" t="n"/>
      <c r="R425" s="97" t="n"/>
      <c r="S425" s="97" t="n"/>
      <c r="T425" s="97" t="n"/>
      <c r="U425" s="97" t="n"/>
      <c r="V425" s="97" t="n"/>
      <c r="W425" s="97" t="n"/>
      <c r="X425" s="97" t="n"/>
      <c r="Y425" s="97" t="n"/>
      <c r="Z425" s="97" t="n"/>
      <c r="AA425" s="97" t="n"/>
      <c r="AB425" s="97" t="n"/>
      <c r="AC425" s="97" t="n"/>
      <c r="AD425" s="97" t="n"/>
      <c r="AE425" s="97" t="n"/>
      <c r="AF425" s="97" t="n"/>
      <c r="AG425" s="97" t="n"/>
      <c r="AH425" s="97" t="n"/>
      <c r="AI425" s="97" t="n"/>
      <c r="AJ425" s="97" t="n"/>
      <c r="AK425" s="97" t="n"/>
      <c r="AL425" s="97" t="n"/>
      <c r="AM425" s="97" t="n"/>
      <c r="AN425" s="97" t="n"/>
      <c r="AO425" s="97" t="n"/>
      <c r="AP425" s="97" t="n"/>
      <c r="AQ425" s="97" t="n"/>
      <c r="AR425" s="97" t="n"/>
      <c r="AS425" s="97" t="n"/>
      <c r="AT425" s="97" t="n"/>
      <c r="AU425" s="97" t="n"/>
      <c r="AV425" s="97" t="n"/>
      <c r="AW425" s="97" t="n"/>
      <c r="AX425" s="97" t="n"/>
      <c r="AY425" s="97" t="n"/>
      <c r="AZ425" s="97" t="n"/>
      <c r="BA425" s="97" t="n"/>
      <c r="BB425" s="97" t="n"/>
    </row>
    <row r="426" ht="22" customHeight="1" s="110">
      <c r="A426" s="96" t="n"/>
      <c r="B426" s="96" t="n"/>
      <c r="C426" s="96" t="n"/>
      <c r="D426" s="96" t="n"/>
      <c r="E426" s="96" t="n"/>
      <c r="F426" s="96" t="n"/>
      <c r="G426" s="96" t="n"/>
      <c r="H426" s="96" t="n"/>
      <c r="I426" s="96" t="n"/>
      <c r="J426" s="96" t="n"/>
      <c r="L426" s="96" t="n"/>
      <c r="M426" s="96" t="n"/>
      <c r="N426" s="96" t="n"/>
      <c r="O426" s="96" t="n"/>
      <c r="Q426" s="96" t="n"/>
      <c r="R426" s="96" t="n"/>
      <c r="S426" s="96" t="n"/>
      <c r="T426" s="96" t="n"/>
      <c r="U426" s="96" t="n"/>
      <c r="V426" s="96" t="n"/>
      <c r="W426" s="96" t="n"/>
      <c r="X426" s="96" t="n"/>
      <c r="Y426" s="96" t="n"/>
      <c r="Z426" s="96" t="n"/>
      <c r="AA426" s="96" t="n"/>
      <c r="AB426" s="96" t="n"/>
      <c r="AC426" s="96" t="n"/>
      <c r="AD426" s="96" t="n"/>
      <c r="AE426" s="96" t="n"/>
      <c r="AF426" s="96" t="n"/>
      <c r="AG426" s="96" t="n"/>
      <c r="AH426" s="96" t="n"/>
      <c r="AI426" s="96" t="n"/>
      <c r="AJ426" s="96" t="n"/>
      <c r="AK426" s="96" t="n"/>
      <c r="AL426" s="96" t="n"/>
      <c r="AM426" s="96" t="n"/>
      <c r="AN426" s="96" t="n"/>
      <c r="AO426" s="96" t="n"/>
      <c r="AP426" s="96" t="n"/>
      <c r="AQ426" s="96" t="n"/>
      <c r="AR426" s="96" t="n"/>
      <c r="AS426" s="96" t="n"/>
      <c r="AT426" s="96" t="n"/>
      <c r="AU426" s="96" t="n"/>
      <c r="AV426" s="96" t="n"/>
      <c r="AW426" s="96" t="n"/>
      <c r="AX426" s="96" t="n"/>
      <c r="AY426" s="96" t="n"/>
      <c r="AZ426" s="96" t="n"/>
      <c r="BA426" s="96" t="n"/>
      <c r="BB426" s="96" t="n"/>
    </row>
    <row r="427" ht="22" customHeight="1" s="110">
      <c r="A427" s="97" t="n"/>
      <c r="B427" s="97" t="n"/>
      <c r="C427" s="97" t="n"/>
      <c r="D427" s="97" t="n"/>
      <c r="E427" s="97" t="n"/>
      <c r="F427" s="97" t="n"/>
      <c r="G427" s="97" t="n"/>
      <c r="H427" s="97" t="n"/>
      <c r="I427" s="97" t="n"/>
      <c r="J427" s="97" t="n"/>
      <c r="L427" s="97" t="n"/>
      <c r="M427" s="97" t="n"/>
      <c r="N427" s="97" t="n"/>
      <c r="O427" s="97" t="n"/>
      <c r="Q427" s="97" t="n"/>
      <c r="R427" s="97" t="n"/>
      <c r="S427" s="97" t="n"/>
      <c r="T427" s="97" t="n"/>
      <c r="U427" s="97" t="n"/>
      <c r="V427" s="97" t="n"/>
      <c r="W427" s="97" t="n"/>
      <c r="X427" s="97" t="n"/>
      <c r="Y427" s="97" t="n"/>
      <c r="Z427" s="97" t="n"/>
      <c r="AA427" s="97" t="n"/>
      <c r="AB427" s="97" t="n"/>
      <c r="AC427" s="97" t="n"/>
      <c r="AD427" s="97" t="n"/>
      <c r="AE427" s="97" t="n"/>
      <c r="AF427" s="97" t="n"/>
      <c r="AG427" s="97" t="n"/>
      <c r="AH427" s="97" t="n"/>
      <c r="AI427" s="97" t="n"/>
      <c r="AJ427" s="97" t="n"/>
      <c r="AK427" s="97" t="n"/>
      <c r="AL427" s="97" t="n"/>
      <c r="AM427" s="97" t="n"/>
      <c r="AN427" s="97" t="n"/>
      <c r="AO427" s="97" t="n"/>
      <c r="AP427" s="97" t="n"/>
      <c r="AQ427" s="97" t="n"/>
      <c r="AR427" s="97" t="n"/>
      <c r="AS427" s="97" t="n"/>
      <c r="AT427" s="97" t="n"/>
      <c r="AU427" s="97" t="n"/>
      <c r="AV427" s="97" t="n"/>
      <c r="AW427" s="97" t="n"/>
      <c r="AX427" s="97" t="n"/>
      <c r="AY427" s="97" t="n"/>
      <c r="AZ427" s="97" t="n"/>
      <c r="BA427" s="97" t="n"/>
      <c r="BB427" s="97" t="n"/>
    </row>
    <row r="428" ht="22" customHeight="1" s="110">
      <c r="A428" s="96" t="n"/>
      <c r="B428" s="96" t="n"/>
      <c r="C428" s="96" t="n"/>
      <c r="D428" s="96" t="n"/>
      <c r="E428" s="96" t="n"/>
      <c r="F428" s="96" t="n"/>
      <c r="G428" s="96" t="n"/>
      <c r="H428" s="96" t="n"/>
      <c r="I428" s="96" t="n"/>
      <c r="J428" s="96" t="n"/>
      <c r="L428" s="96" t="n"/>
      <c r="M428" s="96" t="n"/>
      <c r="N428" s="96" t="n"/>
      <c r="O428" s="96" t="n"/>
      <c r="Q428" s="96" t="n"/>
      <c r="R428" s="96" t="n"/>
      <c r="S428" s="96" t="n"/>
      <c r="T428" s="96" t="n"/>
      <c r="U428" s="96" t="n"/>
      <c r="V428" s="96" t="n"/>
      <c r="W428" s="96" t="n"/>
      <c r="X428" s="96" t="n"/>
      <c r="Y428" s="96" t="n"/>
      <c r="Z428" s="96" t="n"/>
      <c r="AA428" s="96" t="n"/>
      <c r="AB428" s="96" t="n"/>
      <c r="AC428" s="96" t="n"/>
      <c r="AD428" s="96" t="n"/>
      <c r="AE428" s="96" t="n"/>
      <c r="AF428" s="96" t="n"/>
      <c r="AG428" s="96" t="n"/>
      <c r="AH428" s="96" t="n"/>
      <c r="AI428" s="96" t="n"/>
      <c r="AJ428" s="96" t="n"/>
      <c r="AK428" s="96" t="n"/>
      <c r="AL428" s="96" t="n"/>
      <c r="AM428" s="96" t="n"/>
      <c r="AN428" s="96" t="n"/>
      <c r="AO428" s="96" t="n"/>
      <c r="AP428" s="96" t="n"/>
      <c r="AQ428" s="96" t="n"/>
      <c r="AR428" s="96" t="n"/>
      <c r="AS428" s="96" t="n"/>
      <c r="AT428" s="96" t="n"/>
      <c r="AU428" s="96" t="n"/>
      <c r="AV428" s="96" t="n"/>
      <c r="AW428" s="96" t="n"/>
      <c r="AX428" s="96" t="n"/>
      <c r="AY428" s="96" t="n"/>
      <c r="AZ428" s="96" t="n"/>
      <c r="BA428" s="96" t="n"/>
      <c r="BB428" s="96" t="n"/>
    </row>
    <row r="429" ht="22" customHeight="1" s="110">
      <c r="A429" s="97" t="n"/>
      <c r="B429" s="97" t="n"/>
      <c r="C429" s="97" t="n"/>
      <c r="D429" s="97" t="n"/>
      <c r="E429" s="97" t="n"/>
      <c r="F429" s="97" t="n"/>
      <c r="G429" s="97" t="n"/>
      <c r="H429" s="97" t="n"/>
      <c r="I429" s="97" t="n"/>
      <c r="J429" s="97" t="n"/>
      <c r="L429" s="97" t="n"/>
      <c r="M429" s="97" t="n"/>
      <c r="N429" s="97" t="n"/>
      <c r="O429" s="97" t="n"/>
      <c r="Q429" s="97" t="n"/>
      <c r="R429" s="97" t="n"/>
      <c r="S429" s="97" t="n"/>
      <c r="T429" s="97" t="n"/>
      <c r="U429" s="97" t="n"/>
      <c r="V429" s="97" t="n"/>
      <c r="W429" s="97" t="n"/>
      <c r="X429" s="97" t="n"/>
      <c r="Y429" s="97" t="n"/>
      <c r="Z429" s="97" t="n"/>
      <c r="AA429" s="97" t="n"/>
      <c r="AB429" s="97" t="n"/>
      <c r="AC429" s="97" t="n"/>
      <c r="AD429" s="97" t="n"/>
      <c r="AE429" s="97" t="n"/>
      <c r="AF429" s="97" t="n"/>
      <c r="AG429" s="97" t="n"/>
      <c r="AH429" s="97" t="n"/>
      <c r="AI429" s="97" t="n"/>
      <c r="AJ429" s="97" t="n"/>
      <c r="AK429" s="97" t="n"/>
      <c r="AL429" s="97" t="n"/>
      <c r="AM429" s="97" t="n"/>
      <c r="AN429" s="97" t="n"/>
      <c r="AO429" s="97" t="n"/>
      <c r="AP429" s="97" t="n"/>
      <c r="AQ429" s="97" t="n"/>
      <c r="AR429" s="97" t="n"/>
      <c r="AS429" s="97" t="n"/>
      <c r="AT429" s="97" t="n"/>
      <c r="AU429" s="97" t="n"/>
      <c r="AV429" s="97" t="n"/>
      <c r="AW429" s="97" t="n"/>
      <c r="AX429" s="97" t="n"/>
      <c r="AY429" s="97" t="n"/>
      <c r="AZ429" s="97" t="n"/>
      <c r="BA429" s="97" t="n"/>
      <c r="BB429" s="97" t="n"/>
    </row>
    <row r="430" ht="22" customHeight="1" s="110">
      <c r="A430" s="96" t="n"/>
      <c r="B430" s="96" t="n"/>
      <c r="C430" s="96" t="n"/>
      <c r="D430" s="96" t="n"/>
      <c r="E430" s="96" t="n"/>
      <c r="F430" s="96" t="n"/>
      <c r="G430" s="96" t="n"/>
      <c r="H430" s="96" t="n"/>
      <c r="I430" s="96" t="n"/>
      <c r="J430" s="96" t="n"/>
      <c r="L430" s="96" t="n"/>
      <c r="M430" s="96" t="n"/>
      <c r="N430" s="96" t="n"/>
      <c r="O430" s="96" t="n"/>
      <c r="Q430" s="96" t="n"/>
      <c r="R430" s="96" t="n"/>
      <c r="S430" s="96" t="n"/>
      <c r="T430" s="96" t="n"/>
      <c r="U430" s="96" t="n"/>
      <c r="V430" s="96" t="n"/>
      <c r="W430" s="96" t="n"/>
      <c r="X430" s="96" t="n"/>
      <c r="Y430" s="96" t="n"/>
      <c r="Z430" s="96" t="n"/>
      <c r="AA430" s="96" t="n"/>
      <c r="AB430" s="96" t="n"/>
      <c r="AC430" s="96" t="n"/>
      <c r="AD430" s="96" t="n"/>
      <c r="AE430" s="96" t="n"/>
      <c r="AF430" s="96" t="n"/>
      <c r="AG430" s="96" t="n"/>
      <c r="AH430" s="96" t="n"/>
      <c r="AI430" s="96" t="n"/>
      <c r="AJ430" s="96" t="n"/>
      <c r="AK430" s="96" t="n"/>
      <c r="AL430" s="96" t="n"/>
      <c r="AM430" s="96" t="n"/>
      <c r="AN430" s="96" t="n"/>
      <c r="AO430" s="96" t="n"/>
      <c r="AP430" s="96" t="n"/>
      <c r="AQ430" s="96" t="n"/>
      <c r="AR430" s="96" t="n"/>
      <c r="AS430" s="96" t="n"/>
      <c r="AT430" s="96" t="n"/>
      <c r="AU430" s="96" t="n"/>
      <c r="AV430" s="96" t="n"/>
      <c r="AW430" s="96" t="n"/>
      <c r="AX430" s="96" t="n"/>
      <c r="AY430" s="96" t="n"/>
      <c r="AZ430" s="96" t="n"/>
      <c r="BA430" s="96" t="n"/>
      <c r="BB430" s="96" t="n"/>
    </row>
    <row r="431" ht="22" customHeight="1" s="110">
      <c r="A431" s="97" t="n"/>
      <c r="B431" s="97" t="n"/>
      <c r="C431" s="97" t="n"/>
      <c r="D431" s="97" t="n"/>
      <c r="E431" s="97" t="n"/>
      <c r="F431" s="97" t="n"/>
      <c r="G431" s="97" t="n"/>
      <c r="H431" s="97" t="n"/>
      <c r="I431" s="97" t="n"/>
      <c r="J431" s="97" t="n"/>
      <c r="L431" s="97" t="n"/>
      <c r="M431" s="97" t="n"/>
      <c r="N431" s="97" t="n"/>
      <c r="O431" s="97" t="n"/>
      <c r="Q431" s="97" t="n"/>
      <c r="R431" s="97" t="n"/>
      <c r="S431" s="97" t="n"/>
      <c r="T431" s="97" t="n"/>
      <c r="U431" s="97" t="n"/>
      <c r="V431" s="97" t="n"/>
      <c r="W431" s="97" t="n"/>
      <c r="X431" s="97" t="n"/>
      <c r="Y431" s="97" t="n"/>
      <c r="Z431" s="97" t="n"/>
      <c r="AA431" s="97" t="n"/>
      <c r="AB431" s="97" t="n"/>
      <c r="AC431" s="97" t="n"/>
      <c r="AD431" s="97" t="n"/>
      <c r="AE431" s="97" t="n"/>
      <c r="AF431" s="97" t="n"/>
      <c r="AG431" s="97" t="n"/>
      <c r="AH431" s="97" t="n"/>
      <c r="AI431" s="97" t="n"/>
      <c r="AJ431" s="97" t="n"/>
      <c r="AK431" s="97" t="n"/>
      <c r="AL431" s="97" t="n"/>
      <c r="AM431" s="97" t="n"/>
      <c r="AN431" s="97" t="n"/>
      <c r="AO431" s="97" t="n"/>
      <c r="AP431" s="97" t="n"/>
      <c r="AQ431" s="97" t="n"/>
      <c r="AR431" s="97" t="n"/>
      <c r="AS431" s="97" t="n"/>
      <c r="AT431" s="97" t="n"/>
      <c r="AU431" s="97" t="n"/>
      <c r="AV431" s="97" t="n"/>
      <c r="AW431" s="97" t="n"/>
      <c r="AX431" s="97" t="n"/>
      <c r="AY431" s="97" t="n"/>
      <c r="AZ431" s="97" t="n"/>
      <c r="BA431" s="97" t="n"/>
      <c r="BB431" s="97" t="n"/>
    </row>
    <row r="432" ht="22" customHeight="1" s="110">
      <c r="A432" s="96" t="n"/>
      <c r="B432" s="96" t="n"/>
      <c r="C432" s="96" t="n"/>
      <c r="D432" s="96" t="n"/>
      <c r="E432" s="96" t="n"/>
      <c r="F432" s="96" t="n"/>
      <c r="G432" s="96" t="n"/>
      <c r="H432" s="96" t="n"/>
      <c r="I432" s="96" t="n"/>
      <c r="J432" s="96" t="n"/>
      <c r="L432" s="96" t="n"/>
      <c r="M432" s="96" t="n"/>
      <c r="N432" s="96" t="n"/>
      <c r="O432" s="96" t="n"/>
      <c r="Q432" s="96" t="n"/>
      <c r="R432" s="96" t="n"/>
      <c r="S432" s="96" t="n"/>
      <c r="T432" s="96" t="n"/>
      <c r="U432" s="96" t="n"/>
      <c r="V432" s="96" t="n"/>
      <c r="W432" s="96" t="n"/>
      <c r="X432" s="96" t="n"/>
      <c r="Y432" s="96" t="n"/>
      <c r="Z432" s="96" t="n"/>
      <c r="AA432" s="96" t="n"/>
      <c r="AB432" s="96" t="n"/>
      <c r="AC432" s="96" t="n"/>
      <c r="AD432" s="96" t="n"/>
      <c r="AE432" s="96" t="n"/>
      <c r="AF432" s="96" t="n"/>
      <c r="AG432" s="96" t="n"/>
      <c r="AH432" s="96" t="n"/>
      <c r="AI432" s="96" t="n"/>
      <c r="AJ432" s="96" t="n"/>
      <c r="AK432" s="96" t="n"/>
      <c r="AL432" s="96" t="n"/>
      <c r="AM432" s="96" t="n"/>
      <c r="AN432" s="96" t="n"/>
      <c r="AO432" s="96" t="n"/>
      <c r="AP432" s="96" t="n"/>
      <c r="AQ432" s="96" t="n"/>
      <c r="AR432" s="96" t="n"/>
      <c r="AS432" s="96" t="n"/>
      <c r="AT432" s="96" t="n"/>
      <c r="AU432" s="96" t="n"/>
      <c r="AV432" s="96" t="n"/>
      <c r="AW432" s="96" t="n"/>
      <c r="AX432" s="96" t="n"/>
      <c r="AY432" s="96" t="n"/>
      <c r="AZ432" s="96" t="n"/>
      <c r="BA432" s="96" t="n"/>
      <c r="BB432" s="96" t="n"/>
    </row>
    <row r="433" ht="22" customHeight="1" s="110">
      <c r="A433" s="97" t="n"/>
      <c r="B433" s="97" t="n"/>
      <c r="C433" s="97" t="n"/>
      <c r="D433" s="97" t="n"/>
      <c r="E433" s="97" t="n"/>
      <c r="F433" s="97" t="n"/>
      <c r="G433" s="97" t="n"/>
      <c r="H433" s="97" t="n"/>
      <c r="I433" s="97" t="n"/>
      <c r="J433" s="97" t="n"/>
      <c r="L433" s="97" t="n"/>
      <c r="M433" s="97" t="n"/>
      <c r="N433" s="97" t="n"/>
      <c r="O433" s="97" t="n"/>
      <c r="Q433" s="97" t="n"/>
      <c r="R433" s="97" t="n"/>
      <c r="S433" s="97" t="n"/>
      <c r="T433" s="97" t="n"/>
      <c r="U433" s="97" t="n"/>
      <c r="V433" s="97" t="n"/>
      <c r="W433" s="97" t="n"/>
      <c r="X433" s="97" t="n"/>
      <c r="Y433" s="97" t="n"/>
      <c r="Z433" s="97" t="n"/>
      <c r="AA433" s="97" t="n"/>
      <c r="AB433" s="97" t="n"/>
      <c r="AC433" s="97" t="n"/>
      <c r="AD433" s="97" t="n"/>
      <c r="AE433" s="97" t="n"/>
      <c r="AF433" s="97" t="n"/>
      <c r="AG433" s="97" t="n"/>
      <c r="AH433" s="97" t="n"/>
      <c r="AI433" s="97" t="n"/>
      <c r="AJ433" s="97" t="n"/>
      <c r="AK433" s="97" t="n"/>
      <c r="AL433" s="97" t="n"/>
      <c r="AM433" s="97" t="n"/>
      <c r="AN433" s="97" t="n"/>
      <c r="AO433" s="97" t="n"/>
      <c r="AP433" s="97" t="n"/>
      <c r="AQ433" s="97" t="n"/>
      <c r="AR433" s="97" t="n"/>
      <c r="AS433" s="97" t="n"/>
      <c r="AT433" s="97" t="n"/>
      <c r="AU433" s="97" t="n"/>
      <c r="AV433" s="97" t="n"/>
      <c r="AW433" s="97" t="n"/>
      <c r="AX433" s="97" t="n"/>
      <c r="AY433" s="97" t="n"/>
      <c r="AZ433" s="97" t="n"/>
      <c r="BA433" s="97" t="n"/>
      <c r="BB433" s="97" t="n"/>
    </row>
    <row r="434" ht="22" customHeight="1" s="110">
      <c r="A434" s="96" t="n"/>
      <c r="B434" s="96" t="n"/>
      <c r="C434" s="96" t="n"/>
      <c r="D434" s="96" t="n"/>
      <c r="E434" s="96" t="n"/>
      <c r="F434" s="96" t="n"/>
      <c r="G434" s="96" t="n"/>
      <c r="H434" s="96" t="n"/>
      <c r="I434" s="96" t="n"/>
      <c r="J434" s="96" t="n"/>
      <c r="L434" s="96" t="n"/>
      <c r="M434" s="96" t="n"/>
      <c r="N434" s="96" t="n"/>
      <c r="O434" s="96" t="n"/>
      <c r="Q434" s="96" t="n"/>
      <c r="R434" s="96" t="n"/>
      <c r="S434" s="96" t="n"/>
      <c r="T434" s="96" t="n"/>
      <c r="U434" s="96" t="n"/>
      <c r="V434" s="96" t="n"/>
      <c r="W434" s="96" t="n"/>
      <c r="X434" s="96" t="n"/>
      <c r="Y434" s="96" t="n"/>
      <c r="Z434" s="96" t="n"/>
      <c r="AA434" s="96" t="n"/>
      <c r="AB434" s="96" t="n"/>
      <c r="AC434" s="96" t="n"/>
      <c r="AD434" s="96" t="n"/>
      <c r="AE434" s="96" t="n"/>
      <c r="AF434" s="96" t="n"/>
      <c r="AG434" s="96" t="n"/>
      <c r="AH434" s="96" t="n"/>
      <c r="AI434" s="96" t="n"/>
      <c r="AJ434" s="96" t="n"/>
      <c r="AK434" s="96" t="n"/>
      <c r="AL434" s="96" t="n"/>
      <c r="AM434" s="96" t="n"/>
      <c r="AN434" s="96" t="n"/>
      <c r="AO434" s="96" t="n"/>
      <c r="AP434" s="96" t="n"/>
      <c r="AQ434" s="96" t="n"/>
      <c r="AR434" s="96" t="n"/>
      <c r="AS434" s="96" t="n"/>
      <c r="AT434" s="96" t="n"/>
      <c r="AU434" s="96" t="n"/>
      <c r="AV434" s="96" t="n"/>
      <c r="AW434" s="96" t="n"/>
      <c r="AX434" s="96" t="n"/>
      <c r="AY434" s="96" t="n"/>
      <c r="AZ434" s="96" t="n"/>
      <c r="BA434" s="96" t="n"/>
      <c r="BB434" s="96" t="n"/>
    </row>
    <row r="435" ht="22" customHeight="1" s="110">
      <c r="A435" s="97" t="n"/>
      <c r="B435" s="97" t="n"/>
      <c r="C435" s="97" t="n"/>
      <c r="D435" s="97" t="n"/>
      <c r="E435" s="97" t="n"/>
      <c r="F435" s="97" t="n"/>
      <c r="G435" s="97" t="n"/>
      <c r="H435" s="97" t="n"/>
      <c r="I435" s="97" t="n"/>
      <c r="J435" s="97" t="n"/>
      <c r="L435" s="97" t="n"/>
      <c r="M435" s="97" t="n"/>
      <c r="N435" s="97" t="n"/>
      <c r="O435" s="97" t="n"/>
      <c r="Q435" s="97" t="n"/>
      <c r="R435" s="97" t="n"/>
      <c r="S435" s="97" t="n"/>
      <c r="T435" s="97" t="n"/>
      <c r="U435" s="97" t="n"/>
      <c r="V435" s="97" t="n"/>
      <c r="W435" s="97" t="n"/>
      <c r="X435" s="97" t="n"/>
      <c r="Y435" s="97" t="n"/>
      <c r="Z435" s="97" t="n"/>
      <c r="AA435" s="97" t="n"/>
      <c r="AB435" s="97" t="n"/>
      <c r="AC435" s="97" t="n"/>
      <c r="AD435" s="97" t="n"/>
      <c r="AE435" s="97" t="n"/>
      <c r="AF435" s="97" t="n"/>
      <c r="AG435" s="97" t="n"/>
      <c r="AH435" s="97" t="n"/>
      <c r="AI435" s="97" t="n"/>
      <c r="AJ435" s="97" t="n"/>
      <c r="AK435" s="97" t="n"/>
      <c r="AL435" s="97" t="n"/>
      <c r="AM435" s="97" t="n"/>
      <c r="AN435" s="97" t="n"/>
      <c r="AO435" s="97" t="n"/>
      <c r="AP435" s="97" t="n"/>
      <c r="AQ435" s="97" t="n"/>
      <c r="AR435" s="97" t="n"/>
      <c r="AS435" s="97" t="n"/>
      <c r="AT435" s="97" t="n"/>
      <c r="AU435" s="97" t="n"/>
      <c r="AV435" s="97" t="n"/>
      <c r="AW435" s="97" t="n"/>
      <c r="AX435" s="97" t="n"/>
      <c r="AY435" s="97" t="n"/>
      <c r="AZ435" s="97" t="n"/>
      <c r="BA435" s="97" t="n"/>
      <c r="BB435" s="97" t="n"/>
    </row>
    <row r="436" ht="22" customHeight="1" s="110">
      <c r="A436" s="96" t="n"/>
      <c r="B436" s="96" t="n"/>
      <c r="C436" s="96" t="n"/>
      <c r="D436" s="96" t="n"/>
      <c r="E436" s="96" t="n"/>
      <c r="F436" s="96" t="n"/>
      <c r="G436" s="96" t="n"/>
      <c r="H436" s="96" t="n"/>
      <c r="I436" s="96" t="n"/>
      <c r="J436" s="96" t="n"/>
      <c r="L436" s="96" t="n"/>
      <c r="M436" s="96" t="n"/>
      <c r="N436" s="96" t="n"/>
      <c r="O436" s="96" t="n"/>
      <c r="Q436" s="96" t="n"/>
      <c r="R436" s="96" t="n"/>
      <c r="S436" s="96" t="n"/>
      <c r="T436" s="96" t="n"/>
      <c r="U436" s="96" t="n"/>
      <c r="V436" s="96" t="n"/>
      <c r="W436" s="96" t="n"/>
      <c r="X436" s="96" t="n"/>
      <c r="Y436" s="96" t="n"/>
      <c r="Z436" s="96" t="n"/>
      <c r="AA436" s="96" t="n"/>
      <c r="AB436" s="96" t="n"/>
      <c r="AC436" s="96" t="n"/>
      <c r="AD436" s="96" t="n"/>
      <c r="AE436" s="96" t="n"/>
      <c r="AF436" s="96" t="n"/>
      <c r="AG436" s="96" t="n"/>
      <c r="AH436" s="96" t="n"/>
      <c r="AI436" s="96" t="n"/>
      <c r="AJ436" s="96" t="n"/>
      <c r="AK436" s="96" t="n"/>
      <c r="AL436" s="96" t="n"/>
      <c r="AM436" s="96" t="n"/>
      <c r="AN436" s="96" t="n"/>
      <c r="AO436" s="96" t="n"/>
      <c r="AP436" s="96" t="n"/>
      <c r="AQ436" s="96" t="n"/>
      <c r="AR436" s="96" t="n"/>
      <c r="AS436" s="96" t="n"/>
      <c r="AT436" s="96" t="n"/>
      <c r="AU436" s="96" t="n"/>
      <c r="AV436" s="96" t="n"/>
      <c r="AW436" s="96" t="n"/>
      <c r="AX436" s="96" t="n"/>
      <c r="AY436" s="96" t="n"/>
      <c r="AZ436" s="96" t="n"/>
      <c r="BA436" s="96" t="n"/>
      <c r="BB436" s="96" t="n"/>
    </row>
    <row r="437" ht="22" customHeight="1" s="110">
      <c r="A437" s="97" t="n"/>
      <c r="B437" s="97" t="n"/>
      <c r="C437" s="97" t="n"/>
      <c r="D437" s="97" t="n"/>
      <c r="E437" s="97" t="n"/>
      <c r="F437" s="97" t="n"/>
      <c r="G437" s="97" t="n"/>
      <c r="H437" s="97" t="n"/>
      <c r="I437" s="97" t="n"/>
      <c r="J437" s="97" t="n"/>
      <c r="L437" s="97" t="n"/>
      <c r="M437" s="97" t="n"/>
      <c r="N437" s="97" t="n"/>
      <c r="O437" s="97" t="n"/>
      <c r="Q437" s="97" t="n"/>
      <c r="R437" s="97" t="n"/>
      <c r="S437" s="97" t="n"/>
      <c r="T437" s="97" t="n"/>
      <c r="U437" s="97" t="n"/>
      <c r="V437" s="97" t="n"/>
      <c r="W437" s="97" t="n"/>
      <c r="X437" s="97" t="n"/>
      <c r="Y437" s="97" t="n"/>
      <c r="Z437" s="97" t="n"/>
      <c r="AA437" s="97" t="n"/>
      <c r="AB437" s="97" t="n"/>
      <c r="AC437" s="97" t="n"/>
      <c r="AD437" s="97" t="n"/>
      <c r="AE437" s="97" t="n"/>
      <c r="AF437" s="97" t="n"/>
      <c r="AG437" s="97" t="n"/>
      <c r="AH437" s="97" t="n"/>
      <c r="AI437" s="97" t="n"/>
      <c r="AJ437" s="97" t="n"/>
      <c r="AK437" s="97" t="n"/>
      <c r="AL437" s="97" t="n"/>
      <c r="AM437" s="97" t="n"/>
      <c r="AN437" s="97" t="n"/>
      <c r="AO437" s="97" t="n"/>
      <c r="AP437" s="97" t="n"/>
      <c r="AQ437" s="97" t="n"/>
      <c r="AR437" s="97" t="n"/>
      <c r="AS437" s="97" t="n"/>
      <c r="AT437" s="97" t="n"/>
      <c r="AU437" s="97" t="n"/>
      <c r="AV437" s="97" t="n"/>
      <c r="AW437" s="97" t="n"/>
      <c r="AX437" s="97" t="n"/>
      <c r="AY437" s="97" t="n"/>
      <c r="AZ437" s="97" t="n"/>
      <c r="BA437" s="97" t="n"/>
      <c r="BB437" s="97" t="n"/>
    </row>
    <row r="438" ht="22" customHeight="1" s="110">
      <c r="A438" s="96" t="n"/>
      <c r="B438" s="96" t="n"/>
      <c r="C438" s="96" t="n"/>
      <c r="D438" s="96" t="n"/>
      <c r="E438" s="96" t="n"/>
      <c r="F438" s="96" t="n"/>
      <c r="G438" s="96" t="n"/>
      <c r="H438" s="96" t="n"/>
      <c r="I438" s="96" t="n"/>
      <c r="J438" s="96" t="n"/>
      <c r="L438" s="96" t="n"/>
      <c r="M438" s="96" t="n"/>
      <c r="N438" s="96" t="n"/>
      <c r="O438" s="96" t="n"/>
      <c r="Q438" s="96" t="n"/>
      <c r="R438" s="96" t="n"/>
      <c r="S438" s="96" t="n"/>
      <c r="T438" s="96" t="n"/>
      <c r="U438" s="96" t="n"/>
      <c r="V438" s="96" t="n"/>
      <c r="W438" s="96" t="n"/>
      <c r="X438" s="96" t="n"/>
      <c r="Y438" s="96" t="n"/>
      <c r="Z438" s="96" t="n"/>
      <c r="AA438" s="96" t="n"/>
      <c r="AB438" s="96" t="n"/>
      <c r="AC438" s="96" t="n"/>
      <c r="AD438" s="96" t="n"/>
      <c r="AE438" s="96" t="n"/>
      <c r="AF438" s="96" t="n"/>
      <c r="AG438" s="96" t="n"/>
      <c r="AH438" s="96" t="n"/>
      <c r="AI438" s="96" t="n"/>
      <c r="AJ438" s="96" t="n"/>
      <c r="AK438" s="96" t="n"/>
      <c r="AL438" s="96" t="n"/>
      <c r="AM438" s="96" t="n"/>
      <c r="AN438" s="96" t="n"/>
      <c r="AO438" s="96" t="n"/>
      <c r="AP438" s="96" t="n"/>
      <c r="AQ438" s="96" t="n"/>
      <c r="AR438" s="96" t="n"/>
      <c r="AS438" s="96" t="n"/>
      <c r="AT438" s="96" t="n"/>
      <c r="AU438" s="96" t="n"/>
      <c r="AV438" s="96" t="n"/>
      <c r="AW438" s="96" t="n"/>
      <c r="AX438" s="96" t="n"/>
      <c r="AY438" s="96" t="n"/>
      <c r="AZ438" s="96" t="n"/>
      <c r="BA438" s="96" t="n"/>
      <c r="BB438" s="96" t="n"/>
    </row>
    <row r="439" ht="22" customHeight="1" s="110">
      <c r="A439" s="97" t="n"/>
      <c r="B439" s="97" t="n"/>
      <c r="C439" s="97" t="n"/>
      <c r="D439" s="97" t="n"/>
      <c r="E439" s="97" t="n"/>
      <c r="F439" s="97" t="n"/>
      <c r="G439" s="97" t="n"/>
      <c r="H439" s="97" t="n"/>
      <c r="I439" s="97" t="n"/>
      <c r="J439" s="97" t="n"/>
      <c r="L439" s="97" t="n"/>
      <c r="M439" s="97" t="n"/>
      <c r="N439" s="97" t="n"/>
      <c r="O439" s="97" t="n"/>
      <c r="Q439" s="97" t="n"/>
      <c r="R439" s="97" t="n"/>
      <c r="S439" s="97" t="n"/>
      <c r="T439" s="97" t="n"/>
      <c r="U439" s="97" t="n"/>
      <c r="V439" s="97" t="n"/>
      <c r="W439" s="97" t="n"/>
      <c r="X439" s="97" t="n"/>
      <c r="Y439" s="97" t="n"/>
      <c r="Z439" s="97" t="n"/>
      <c r="AA439" s="97" t="n"/>
      <c r="AB439" s="97" t="n"/>
      <c r="AC439" s="97" t="n"/>
      <c r="AD439" s="97" t="n"/>
      <c r="AE439" s="97" t="n"/>
      <c r="AF439" s="97" t="n"/>
      <c r="AG439" s="97" t="n"/>
      <c r="AH439" s="97" t="n"/>
      <c r="AI439" s="97" t="n"/>
      <c r="AJ439" s="97" t="n"/>
      <c r="AK439" s="97" t="n"/>
      <c r="AL439" s="97" t="n"/>
      <c r="AM439" s="97" t="n"/>
      <c r="AN439" s="97" t="n"/>
      <c r="AO439" s="97" t="n"/>
      <c r="AP439" s="97" t="n"/>
      <c r="AQ439" s="97" t="n"/>
      <c r="AR439" s="97" t="n"/>
      <c r="AS439" s="97" t="n"/>
      <c r="AT439" s="97" t="n"/>
      <c r="AU439" s="97" t="n"/>
      <c r="AV439" s="97" t="n"/>
      <c r="AW439" s="97" t="n"/>
      <c r="AX439" s="97" t="n"/>
      <c r="AY439" s="97" t="n"/>
      <c r="AZ439" s="97" t="n"/>
      <c r="BA439" s="97" t="n"/>
      <c r="BB439" s="97" t="n"/>
    </row>
    <row r="440" ht="22" customHeight="1" s="110">
      <c r="A440" s="96" t="n"/>
      <c r="B440" s="96" t="n"/>
      <c r="C440" s="96" t="n"/>
      <c r="D440" s="96" t="n"/>
      <c r="E440" s="96" t="n"/>
      <c r="F440" s="96" t="n"/>
      <c r="G440" s="96" t="n"/>
      <c r="H440" s="96" t="n"/>
      <c r="I440" s="96" t="n"/>
      <c r="J440" s="96" t="n"/>
      <c r="L440" s="96" t="n"/>
      <c r="M440" s="96" t="n"/>
      <c r="N440" s="96" t="n"/>
      <c r="O440" s="96" t="n"/>
      <c r="Q440" s="96" t="n"/>
      <c r="R440" s="96" t="n"/>
      <c r="S440" s="96" t="n"/>
      <c r="T440" s="96" t="n"/>
      <c r="U440" s="96" t="n"/>
      <c r="V440" s="96" t="n"/>
      <c r="W440" s="96" t="n"/>
      <c r="X440" s="96" t="n"/>
      <c r="Y440" s="96" t="n"/>
      <c r="Z440" s="96" t="n"/>
      <c r="AA440" s="96" t="n"/>
      <c r="AB440" s="96" t="n"/>
      <c r="AC440" s="96" t="n"/>
      <c r="AD440" s="96" t="n"/>
      <c r="AE440" s="96" t="n"/>
      <c r="AF440" s="96" t="n"/>
      <c r="AG440" s="96" t="n"/>
      <c r="AH440" s="96" t="n"/>
      <c r="AI440" s="96" t="n"/>
      <c r="AJ440" s="96" t="n"/>
      <c r="AK440" s="96" t="n"/>
      <c r="AL440" s="96" t="n"/>
      <c r="AM440" s="96" t="n"/>
      <c r="AN440" s="96" t="n"/>
      <c r="AO440" s="96" t="n"/>
      <c r="AP440" s="96" t="n"/>
      <c r="AQ440" s="96" t="n"/>
      <c r="AR440" s="96" t="n"/>
      <c r="AS440" s="96" t="n"/>
      <c r="AT440" s="96" t="n"/>
      <c r="AU440" s="96" t="n"/>
      <c r="AV440" s="96" t="n"/>
      <c r="AW440" s="96" t="n"/>
      <c r="AX440" s="96" t="n"/>
      <c r="AY440" s="96" t="n"/>
      <c r="AZ440" s="96" t="n"/>
      <c r="BA440" s="96" t="n"/>
      <c r="BB440" s="96" t="n"/>
    </row>
    <row r="441" ht="22" customHeight="1" s="110">
      <c r="A441" s="97" t="n"/>
      <c r="B441" s="97" t="n"/>
      <c r="C441" s="97" t="n"/>
      <c r="D441" s="97" t="n"/>
      <c r="E441" s="97" t="n"/>
      <c r="F441" s="97" t="n"/>
      <c r="G441" s="97" t="n"/>
      <c r="H441" s="97" t="n"/>
      <c r="I441" s="97" t="n"/>
      <c r="J441" s="97" t="n"/>
      <c r="L441" s="97" t="n"/>
      <c r="M441" s="97" t="n"/>
      <c r="N441" s="97" t="n"/>
      <c r="O441" s="97" t="n"/>
      <c r="Q441" s="97" t="n"/>
      <c r="R441" s="97" t="n"/>
      <c r="S441" s="97" t="n"/>
      <c r="T441" s="97" t="n"/>
      <c r="U441" s="97" t="n"/>
      <c r="V441" s="97" t="n"/>
      <c r="W441" s="97" t="n"/>
      <c r="X441" s="97" t="n"/>
      <c r="Y441" s="97" t="n"/>
      <c r="Z441" s="97" t="n"/>
      <c r="AA441" s="97" t="n"/>
      <c r="AB441" s="97" t="n"/>
      <c r="AC441" s="97" t="n"/>
      <c r="AD441" s="97" t="n"/>
      <c r="AE441" s="97" t="n"/>
      <c r="AF441" s="97" t="n"/>
      <c r="AG441" s="97" t="n"/>
      <c r="AH441" s="97" t="n"/>
      <c r="AI441" s="97" t="n"/>
      <c r="AJ441" s="97" t="n"/>
      <c r="AK441" s="97" t="n"/>
      <c r="AL441" s="97" t="n"/>
      <c r="AM441" s="97" t="n"/>
      <c r="AN441" s="97" t="n"/>
      <c r="AO441" s="97" t="n"/>
      <c r="AP441" s="97" t="n"/>
      <c r="AQ441" s="97" t="n"/>
      <c r="AR441" s="97" t="n"/>
      <c r="AS441" s="97" t="n"/>
      <c r="AT441" s="97" t="n"/>
      <c r="AU441" s="97" t="n"/>
      <c r="AV441" s="97" t="n"/>
      <c r="AW441" s="97" t="n"/>
      <c r="AX441" s="97" t="n"/>
      <c r="AY441" s="97" t="n"/>
      <c r="AZ441" s="97" t="n"/>
      <c r="BA441" s="97" t="n"/>
      <c r="BB441" s="97" t="n"/>
    </row>
    <row r="442" ht="22" customHeight="1" s="110">
      <c r="A442" s="96" t="n"/>
      <c r="B442" s="96" t="n"/>
      <c r="C442" s="96" t="n"/>
      <c r="D442" s="96" t="n"/>
      <c r="E442" s="96" t="n"/>
      <c r="F442" s="96" t="n"/>
      <c r="G442" s="96" t="n"/>
      <c r="H442" s="96" t="n"/>
      <c r="I442" s="96" t="n"/>
      <c r="J442" s="96" t="n"/>
      <c r="L442" s="96" t="n"/>
      <c r="M442" s="96" t="n"/>
      <c r="N442" s="96" t="n"/>
      <c r="O442" s="96" t="n"/>
      <c r="Q442" s="96" t="n"/>
      <c r="R442" s="96" t="n"/>
      <c r="S442" s="96" t="n"/>
      <c r="T442" s="96" t="n"/>
      <c r="U442" s="96" t="n"/>
      <c r="V442" s="96" t="n"/>
      <c r="W442" s="96" t="n"/>
      <c r="X442" s="96" t="n"/>
      <c r="Y442" s="96" t="n"/>
      <c r="Z442" s="96" t="n"/>
      <c r="AA442" s="96" t="n"/>
      <c r="AB442" s="96" t="n"/>
      <c r="AC442" s="96" t="n"/>
      <c r="AD442" s="96" t="n"/>
      <c r="AE442" s="96" t="n"/>
      <c r="AF442" s="96" t="n"/>
      <c r="AG442" s="96" t="n"/>
      <c r="AH442" s="96" t="n"/>
      <c r="AI442" s="96" t="n"/>
      <c r="AJ442" s="96" t="n"/>
      <c r="AK442" s="96" t="n"/>
      <c r="AL442" s="96" t="n"/>
      <c r="AM442" s="96" t="n"/>
      <c r="AN442" s="96" t="n"/>
      <c r="AO442" s="96" t="n"/>
      <c r="AP442" s="96" t="n"/>
      <c r="AQ442" s="96" t="n"/>
      <c r="AR442" s="96" t="n"/>
      <c r="AS442" s="96" t="n"/>
      <c r="AT442" s="96" t="n"/>
      <c r="AU442" s="96" t="n"/>
      <c r="AV442" s="96" t="n"/>
      <c r="AW442" s="96" t="n"/>
      <c r="AX442" s="96" t="n"/>
      <c r="AY442" s="96" t="n"/>
      <c r="AZ442" s="96" t="n"/>
      <c r="BA442" s="96" t="n"/>
      <c r="BB442" s="96" t="n"/>
    </row>
    <row r="443" ht="22" customHeight="1" s="110">
      <c r="A443" s="97" t="n"/>
      <c r="B443" s="97" t="n"/>
      <c r="C443" s="97" t="n"/>
      <c r="D443" s="97" t="n"/>
      <c r="E443" s="97" t="n"/>
      <c r="F443" s="97" t="n"/>
      <c r="G443" s="97" t="n"/>
      <c r="H443" s="97" t="n"/>
      <c r="I443" s="97" t="n"/>
      <c r="J443" s="97" t="n"/>
      <c r="L443" s="97" t="n"/>
      <c r="M443" s="97" t="n"/>
      <c r="N443" s="97" t="n"/>
      <c r="O443" s="97" t="n"/>
      <c r="Q443" s="97" t="n"/>
      <c r="R443" s="97" t="n"/>
      <c r="S443" s="97" t="n"/>
      <c r="T443" s="97" t="n"/>
      <c r="U443" s="97" t="n"/>
      <c r="V443" s="97" t="n"/>
      <c r="W443" s="97" t="n"/>
      <c r="X443" s="97" t="n"/>
      <c r="Y443" s="97" t="n"/>
      <c r="Z443" s="97" t="n"/>
      <c r="AA443" s="97" t="n"/>
      <c r="AB443" s="97" t="n"/>
      <c r="AC443" s="97" t="n"/>
      <c r="AD443" s="97" t="n"/>
      <c r="AE443" s="97" t="n"/>
      <c r="AF443" s="97" t="n"/>
      <c r="AG443" s="97" t="n"/>
      <c r="AH443" s="97" t="n"/>
      <c r="AI443" s="97" t="n"/>
      <c r="AJ443" s="97" t="n"/>
      <c r="AK443" s="97" t="n"/>
      <c r="AL443" s="97" t="n"/>
      <c r="AM443" s="97" t="n"/>
      <c r="AN443" s="97" t="n"/>
      <c r="AO443" s="97" t="n"/>
      <c r="AP443" s="97" t="n"/>
      <c r="AQ443" s="97" t="n"/>
      <c r="AR443" s="97" t="n"/>
      <c r="AS443" s="97" t="n"/>
      <c r="AT443" s="97" t="n"/>
      <c r="AU443" s="97" t="n"/>
      <c r="AV443" s="97" t="n"/>
      <c r="AW443" s="97" t="n"/>
      <c r="AX443" s="97" t="n"/>
      <c r="AY443" s="97" t="n"/>
      <c r="AZ443" s="97" t="n"/>
      <c r="BA443" s="97" t="n"/>
      <c r="BB443" s="97" t="n"/>
    </row>
    <row r="444" ht="22" customHeight="1" s="110">
      <c r="A444" s="96" t="n"/>
      <c r="B444" s="96" t="n"/>
      <c r="C444" s="96" t="n"/>
      <c r="D444" s="96" t="n"/>
      <c r="E444" s="96" t="n"/>
      <c r="F444" s="96" t="n"/>
      <c r="G444" s="96" t="n"/>
      <c r="H444" s="96" t="n"/>
      <c r="I444" s="96" t="n"/>
      <c r="J444" s="96" t="n"/>
      <c r="L444" s="96" t="n"/>
      <c r="M444" s="96" t="n"/>
      <c r="N444" s="96" t="n"/>
      <c r="O444" s="96" t="n"/>
      <c r="Q444" s="96" t="n"/>
      <c r="R444" s="96" t="n"/>
      <c r="S444" s="96" t="n"/>
      <c r="T444" s="96" t="n"/>
      <c r="U444" s="96" t="n"/>
      <c r="V444" s="96" t="n"/>
      <c r="W444" s="96" t="n"/>
      <c r="X444" s="96" t="n"/>
      <c r="Y444" s="96" t="n"/>
      <c r="Z444" s="96" t="n"/>
      <c r="AA444" s="96" t="n"/>
      <c r="AB444" s="96" t="n"/>
      <c r="AC444" s="96" t="n"/>
      <c r="AD444" s="96" t="n"/>
      <c r="AE444" s="96" t="n"/>
      <c r="AF444" s="96" t="n"/>
      <c r="AG444" s="96" t="n"/>
      <c r="AH444" s="96" t="n"/>
      <c r="AI444" s="96" t="n"/>
      <c r="AJ444" s="96" t="n"/>
      <c r="AK444" s="96" t="n"/>
      <c r="AL444" s="96" t="n"/>
      <c r="AM444" s="96" t="n"/>
      <c r="AN444" s="96" t="n"/>
      <c r="AO444" s="96" t="n"/>
      <c r="AP444" s="96" t="n"/>
      <c r="AQ444" s="96" t="n"/>
      <c r="AR444" s="96" t="n"/>
      <c r="AS444" s="96" t="n"/>
      <c r="AT444" s="96" t="n"/>
      <c r="AU444" s="96" t="n"/>
      <c r="AV444" s="96" t="n"/>
      <c r="AW444" s="96" t="n"/>
      <c r="AX444" s="96" t="n"/>
      <c r="AY444" s="96" t="n"/>
      <c r="AZ444" s="96" t="n"/>
      <c r="BA444" s="96" t="n"/>
      <c r="BB444" s="96" t="n"/>
    </row>
    <row r="445" ht="22" customHeight="1" s="110">
      <c r="A445" s="97" t="n"/>
      <c r="B445" s="97" t="n"/>
      <c r="C445" s="97" t="n"/>
      <c r="D445" s="97" t="n"/>
      <c r="E445" s="97" t="n"/>
      <c r="F445" s="97" t="n"/>
      <c r="G445" s="97" t="n"/>
      <c r="H445" s="97" t="n"/>
      <c r="I445" s="97" t="n"/>
      <c r="J445" s="97" t="n"/>
      <c r="L445" s="97" t="n"/>
      <c r="M445" s="97" t="n"/>
      <c r="N445" s="97" t="n"/>
      <c r="O445" s="97" t="n"/>
      <c r="Q445" s="97" t="n"/>
      <c r="R445" s="97" t="n"/>
      <c r="S445" s="97" t="n"/>
      <c r="T445" s="97" t="n"/>
      <c r="U445" s="97" t="n"/>
      <c r="V445" s="97" t="n"/>
      <c r="W445" s="97" t="n"/>
      <c r="X445" s="97" t="n"/>
      <c r="Y445" s="97" t="n"/>
      <c r="Z445" s="97" t="n"/>
      <c r="AA445" s="97" t="n"/>
      <c r="AB445" s="97" t="n"/>
      <c r="AC445" s="97" t="n"/>
      <c r="AD445" s="97" t="n"/>
      <c r="AE445" s="97" t="n"/>
      <c r="AF445" s="97" t="n"/>
      <c r="AG445" s="97" t="n"/>
      <c r="AH445" s="97" t="n"/>
      <c r="AI445" s="97" t="n"/>
      <c r="AJ445" s="97" t="n"/>
      <c r="AK445" s="97" t="n"/>
      <c r="AL445" s="97" t="n"/>
      <c r="AM445" s="97" t="n"/>
      <c r="AN445" s="97" t="n"/>
      <c r="AO445" s="97" t="n"/>
      <c r="AP445" s="97" t="n"/>
      <c r="AQ445" s="97" t="n"/>
      <c r="AR445" s="97" t="n"/>
      <c r="AS445" s="97" t="n"/>
      <c r="AT445" s="97" t="n"/>
      <c r="AU445" s="97" t="n"/>
      <c r="AV445" s="97" t="n"/>
      <c r="AW445" s="97" t="n"/>
      <c r="AX445" s="97" t="n"/>
      <c r="AY445" s="97" t="n"/>
      <c r="AZ445" s="97" t="n"/>
      <c r="BA445" s="97" t="n"/>
      <c r="BB445" s="97" t="n"/>
    </row>
    <row r="446" ht="22" customHeight="1" s="110">
      <c r="A446" s="96" t="n"/>
      <c r="B446" s="96" t="n"/>
      <c r="C446" s="96" t="n"/>
      <c r="D446" s="96" t="n"/>
      <c r="E446" s="96" t="n"/>
      <c r="F446" s="96" t="n"/>
      <c r="G446" s="96" t="n"/>
      <c r="H446" s="96" t="n"/>
      <c r="I446" s="96" t="n"/>
      <c r="J446" s="96" t="n"/>
      <c r="L446" s="96" t="n"/>
      <c r="M446" s="96" t="n"/>
      <c r="N446" s="96" t="n"/>
      <c r="O446" s="96" t="n"/>
      <c r="Q446" s="96" t="n"/>
      <c r="R446" s="96" t="n"/>
      <c r="S446" s="96" t="n"/>
      <c r="T446" s="96" t="n"/>
      <c r="U446" s="96" t="n"/>
      <c r="V446" s="96" t="n"/>
      <c r="W446" s="96" t="n"/>
      <c r="X446" s="96" t="n"/>
      <c r="Y446" s="96" t="n"/>
      <c r="Z446" s="96" t="n"/>
      <c r="AA446" s="96" t="n"/>
      <c r="AB446" s="96" t="n"/>
      <c r="AC446" s="96" t="n"/>
      <c r="AD446" s="96" t="n"/>
      <c r="AE446" s="96" t="n"/>
      <c r="AF446" s="96" t="n"/>
      <c r="AG446" s="96" t="n"/>
      <c r="AH446" s="96" t="n"/>
      <c r="AI446" s="96" t="n"/>
      <c r="AJ446" s="96" t="n"/>
      <c r="AK446" s="96" t="n"/>
      <c r="AL446" s="96" t="n"/>
      <c r="AM446" s="96" t="n"/>
      <c r="AN446" s="96" t="n"/>
      <c r="AO446" s="96" t="n"/>
      <c r="AP446" s="96" t="n"/>
      <c r="AQ446" s="96" t="n"/>
      <c r="AR446" s="96" t="n"/>
      <c r="AS446" s="96" t="n"/>
      <c r="AT446" s="96" t="n"/>
      <c r="AU446" s="96" t="n"/>
      <c r="AV446" s="96" t="n"/>
      <c r="AW446" s="96" t="n"/>
      <c r="AX446" s="96" t="n"/>
      <c r="AY446" s="96" t="n"/>
      <c r="AZ446" s="96" t="n"/>
      <c r="BA446" s="96" t="n"/>
      <c r="BB446" s="96" t="n"/>
    </row>
    <row r="447" ht="22" customHeight="1" s="110">
      <c r="A447" s="97" t="n"/>
      <c r="B447" s="97" t="n"/>
      <c r="C447" s="97" t="n"/>
      <c r="D447" s="97" t="n"/>
      <c r="E447" s="97" t="n"/>
      <c r="F447" s="97" t="n"/>
      <c r="G447" s="97" t="n"/>
      <c r="H447" s="97" t="n"/>
      <c r="I447" s="97" t="n"/>
      <c r="J447" s="97" t="n"/>
      <c r="L447" s="97" t="n"/>
      <c r="M447" s="97" t="n"/>
      <c r="N447" s="97" t="n"/>
      <c r="O447" s="97" t="n"/>
      <c r="Q447" s="97" t="n"/>
      <c r="R447" s="97" t="n"/>
      <c r="S447" s="97" t="n"/>
      <c r="T447" s="97" t="n"/>
      <c r="U447" s="97" t="n"/>
      <c r="V447" s="97" t="n"/>
      <c r="W447" s="97" t="n"/>
      <c r="X447" s="97" t="n"/>
      <c r="Y447" s="97" t="n"/>
      <c r="Z447" s="97" t="n"/>
      <c r="AA447" s="97" t="n"/>
      <c r="AB447" s="97" t="n"/>
      <c r="AC447" s="97" t="n"/>
      <c r="AD447" s="97" t="n"/>
      <c r="AE447" s="97" t="n"/>
      <c r="AF447" s="97" t="n"/>
      <c r="AG447" s="97" t="n"/>
      <c r="AH447" s="97" t="n"/>
      <c r="AI447" s="97" t="n"/>
      <c r="AJ447" s="97" t="n"/>
      <c r="AK447" s="97" t="n"/>
      <c r="AL447" s="97" t="n"/>
      <c r="AM447" s="97" t="n"/>
      <c r="AN447" s="97" t="n"/>
      <c r="AO447" s="97" t="n"/>
      <c r="AP447" s="97" t="n"/>
      <c r="AQ447" s="97" t="n"/>
      <c r="AR447" s="97" t="n"/>
      <c r="AS447" s="97" t="n"/>
      <c r="AT447" s="97" t="n"/>
      <c r="AU447" s="97" t="n"/>
      <c r="AV447" s="97" t="n"/>
      <c r="AW447" s="97" t="n"/>
      <c r="AX447" s="97" t="n"/>
      <c r="AY447" s="97" t="n"/>
      <c r="AZ447" s="97" t="n"/>
      <c r="BA447" s="97" t="n"/>
      <c r="BB447" s="97" t="n"/>
    </row>
    <row r="448" ht="22" customHeight="1" s="110">
      <c r="A448" s="96" t="n"/>
      <c r="B448" s="96" t="n"/>
      <c r="C448" s="96" t="n"/>
      <c r="D448" s="96" t="n"/>
      <c r="E448" s="96" t="n"/>
      <c r="F448" s="96" t="n"/>
      <c r="G448" s="96" t="n"/>
      <c r="H448" s="96" t="n"/>
      <c r="I448" s="96" t="n"/>
      <c r="J448" s="96" t="n"/>
      <c r="L448" s="96" t="n"/>
      <c r="M448" s="96" t="n"/>
      <c r="N448" s="96" t="n"/>
      <c r="O448" s="96" t="n"/>
      <c r="Q448" s="96" t="n"/>
      <c r="R448" s="96" t="n"/>
      <c r="S448" s="96" t="n"/>
      <c r="T448" s="96" t="n"/>
      <c r="U448" s="96" t="n"/>
      <c r="V448" s="96" t="n"/>
      <c r="W448" s="96" t="n"/>
      <c r="X448" s="96" t="n"/>
      <c r="Y448" s="96" t="n"/>
      <c r="Z448" s="96" t="n"/>
      <c r="AA448" s="96" t="n"/>
      <c r="AB448" s="96" t="n"/>
      <c r="AC448" s="96" t="n"/>
      <c r="AD448" s="96" t="n"/>
      <c r="AE448" s="96" t="n"/>
      <c r="AF448" s="96" t="n"/>
      <c r="AG448" s="96" t="n"/>
      <c r="AH448" s="96" t="n"/>
      <c r="AI448" s="96" t="n"/>
      <c r="AJ448" s="96" t="n"/>
      <c r="AK448" s="96" t="n"/>
      <c r="AL448" s="96" t="n"/>
      <c r="AM448" s="96" t="n"/>
      <c r="AN448" s="96" t="n"/>
      <c r="AO448" s="96" t="n"/>
      <c r="AP448" s="96" t="n"/>
      <c r="AQ448" s="96" t="n"/>
      <c r="AR448" s="96" t="n"/>
      <c r="AS448" s="96" t="n"/>
      <c r="AT448" s="96" t="n"/>
      <c r="AU448" s="96" t="n"/>
      <c r="AV448" s="96" t="n"/>
      <c r="AW448" s="96" t="n"/>
      <c r="AX448" s="96" t="n"/>
      <c r="AY448" s="96" t="n"/>
      <c r="AZ448" s="96" t="n"/>
      <c r="BA448" s="96" t="n"/>
      <c r="BB448" s="96" t="n"/>
    </row>
    <row r="449" ht="22" customHeight="1" s="110">
      <c r="A449" s="97" t="n"/>
      <c r="B449" s="97" t="n"/>
      <c r="C449" s="97" t="n"/>
      <c r="D449" s="97" t="n"/>
      <c r="E449" s="97" t="n"/>
      <c r="F449" s="97" t="n"/>
      <c r="G449" s="97" t="n"/>
      <c r="H449" s="97" t="n"/>
      <c r="I449" s="97" t="n"/>
      <c r="J449" s="97" t="n"/>
      <c r="L449" s="97" t="n"/>
      <c r="M449" s="97" t="n"/>
      <c r="N449" s="97" t="n"/>
      <c r="O449" s="97" t="n"/>
      <c r="Q449" s="97" t="n"/>
      <c r="R449" s="97" t="n"/>
      <c r="S449" s="97" t="n"/>
      <c r="T449" s="97" t="n"/>
      <c r="U449" s="97" t="n"/>
      <c r="V449" s="97" t="n"/>
      <c r="W449" s="97" t="n"/>
      <c r="X449" s="97" t="n"/>
      <c r="Y449" s="97" t="n"/>
      <c r="Z449" s="97" t="n"/>
      <c r="AA449" s="97" t="n"/>
      <c r="AB449" s="97" t="n"/>
      <c r="AC449" s="97" t="n"/>
      <c r="AD449" s="97" t="n"/>
      <c r="AE449" s="97" t="n"/>
      <c r="AF449" s="97" t="n"/>
      <c r="AG449" s="97" t="n"/>
      <c r="AH449" s="97" t="n"/>
      <c r="AI449" s="97" t="n"/>
      <c r="AJ449" s="97" t="n"/>
      <c r="AK449" s="97" t="n"/>
      <c r="AL449" s="97" t="n"/>
      <c r="AM449" s="97" t="n"/>
      <c r="AN449" s="97" t="n"/>
      <c r="AO449" s="97" t="n"/>
      <c r="AP449" s="97" t="n"/>
      <c r="AQ449" s="97" t="n"/>
      <c r="AR449" s="97" t="n"/>
      <c r="AS449" s="97" t="n"/>
      <c r="AT449" s="97" t="n"/>
      <c r="AU449" s="97" t="n"/>
      <c r="AV449" s="97" t="n"/>
      <c r="AW449" s="97" t="n"/>
      <c r="AX449" s="97" t="n"/>
      <c r="AY449" s="97" t="n"/>
      <c r="AZ449" s="97" t="n"/>
      <c r="BA449" s="97" t="n"/>
      <c r="BB449" s="97" t="n"/>
    </row>
    <row r="450" ht="22" customHeight="1" s="110">
      <c r="A450" s="96" t="n"/>
      <c r="B450" s="96" t="n"/>
      <c r="C450" s="96" t="n"/>
      <c r="D450" s="96" t="n"/>
      <c r="E450" s="96" t="n"/>
      <c r="F450" s="96" t="n"/>
      <c r="G450" s="96" t="n"/>
      <c r="H450" s="96" t="n"/>
      <c r="I450" s="96" t="n"/>
      <c r="J450" s="96" t="n"/>
      <c r="L450" s="96" t="n"/>
      <c r="M450" s="96" t="n"/>
      <c r="N450" s="96" t="n"/>
      <c r="O450" s="96" t="n"/>
      <c r="Q450" s="96" t="n"/>
      <c r="R450" s="96" t="n"/>
      <c r="S450" s="96" t="n"/>
      <c r="T450" s="96" t="n"/>
      <c r="U450" s="96" t="n"/>
      <c r="V450" s="96" t="n"/>
      <c r="W450" s="96" t="n"/>
      <c r="X450" s="96" t="n"/>
      <c r="Y450" s="96" t="n"/>
      <c r="Z450" s="96" t="n"/>
      <c r="AA450" s="96" t="n"/>
      <c r="AB450" s="96" t="n"/>
      <c r="AC450" s="96" t="n"/>
      <c r="AD450" s="96" t="n"/>
      <c r="AE450" s="96" t="n"/>
      <c r="AF450" s="96" t="n"/>
      <c r="AG450" s="96" t="n"/>
      <c r="AH450" s="96" t="n"/>
      <c r="AI450" s="96" t="n"/>
      <c r="AJ450" s="96" t="n"/>
      <c r="AK450" s="96" t="n"/>
      <c r="AL450" s="96" t="n"/>
      <c r="AM450" s="96" t="n"/>
      <c r="AN450" s="96" t="n"/>
      <c r="AO450" s="96" t="n"/>
      <c r="AP450" s="96" t="n"/>
      <c r="AQ450" s="96" t="n"/>
      <c r="AR450" s="96" t="n"/>
      <c r="AS450" s="96" t="n"/>
      <c r="AT450" s="96" t="n"/>
      <c r="AU450" s="96" t="n"/>
      <c r="AV450" s="96" t="n"/>
      <c r="AW450" s="96" t="n"/>
      <c r="AX450" s="96" t="n"/>
      <c r="AY450" s="96" t="n"/>
      <c r="AZ450" s="96" t="n"/>
      <c r="BA450" s="96" t="n"/>
      <c r="BB450" s="96" t="n"/>
    </row>
    <row r="451" ht="22" customHeight="1" s="110">
      <c r="A451" s="97" t="n"/>
      <c r="B451" s="97" t="n"/>
      <c r="C451" s="97" t="n"/>
      <c r="D451" s="97" t="n"/>
      <c r="E451" s="97" t="n"/>
      <c r="F451" s="97" t="n"/>
      <c r="G451" s="97" t="n"/>
      <c r="H451" s="97" t="n"/>
      <c r="I451" s="97" t="n"/>
      <c r="J451" s="97" t="n"/>
      <c r="L451" s="97" t="n"/>
      <c r="M451" s="97" t="n"/>
      <c r="N451" s="97" t="n"/>
      <c r="O451" s="97" t="n"/>
      <c r="Q451" s="97" t="n"/>
      <c r="R451" s="97" t="n"/>
      <c r="S451" s="97" t="n"/>
      <c r="T451" s="97" t="n"/>
      <c r="U451" s="97" t="n"/>
      <c r="V451" s="97" t="n"/>
      <c r="W451" s="97" t="n"/>
      <c r="X451" s="97" t="n"/>
      <c r="Y451" s="97" t="n"/>
      <c r="Z451" s="97" t="n"/>
      <c r="AA451" s="97" t="n"/>
      <c r="AB451" s="97" t="n"/>
      <c r="AC451" s="97" t="n"/>
      <c r="AD451" s="97" t="n"/>
      <c r="AE451" s="97" t="n"/>
      <c r="AF451" s="97" t="n"/>
      <c r="AG451" s="97" t="n"/>
      <c r="AH451" s="97" t="n"/>
      <c r="AI451" s="97" t="n"/>
      <c r="AJ451" s="97" t="n"/>
      <c r="AK451" s="97" t="n"/>
      <c r="AL451" s="97" t="n"/>
      <c r="AM451" s="97" t="n"/>
      <c r="AN451" s="97" t="n"/>
      <c r="AO451" s="97" t="n"/>
      <c r="AP451" s="97" t="n"/>
      <c r="AQ451" s="97" t="n"/>
      <c r="AR451" s="97" t="n"/>
      <c r="AS451" s="97" t="n"/>
      <c r="AT451" s="97" t="n"/>
      <c r="AU451" s="97" t="n"/>
      <c r="AV451" s="97" t="n"/>
      <c r="AW451" s="97" t="n"/>
      <c r="AX451" s="97" t="n"/>
      <c r="AY451" s="97" t="n"/>
      <c r="AZ451" s="97" t="n"/>
      <c r="BA451" s="97" t="n"/>
      <c r="BB451" s="97" t="n"/>
    </row>
    <row r="452" ht="22" customHeight="1" s="110">
      <c r="A452" s="96" t="n"/>
      <c r="B452" s="96" t="n"/>
      <c r="C452" s="96" t="n"/>
      <c r="D452" s="96" t="n"/>
      <c r="E452" s="96" t="n"/>
      <c r="F452" s="96" t="n"/>
      <c r="G452" s="96" t="n"/>
      <c r="H452" s="96" t="n"/>
      <c r="I452" s="96" t="n"/>
      <c r="J452" s="96" t="n"/>
      <c r="L452" s="96" t="n"/>
      <c r="M452" s="96" t="n"/>
      <c r="N452" s="96" t="n"/>
      <c r="O452" s="96" t="n"/>
      <c r="Q452" s="96" t="n"/>
      <c r="R452" s="96" t="n"/>
      <c r="S452" s="96" t="n"/>
      <c r="T452" s="96" t="n"/>
      <c r="U452" s="96" t="n"/>
      <c r="V452" s="96" t="n"/>
      <c r="W452" s="96" t="n"/>
      <c r="X452" s="96" t="n"/>
      <c r="Y452" s="96" t="n"/>
      <c r="Z452" s="96" t="n"/>
      <c r="AA452" s="96" t="n"/>
      <c r="AB452" s="96" t="n"/>
      <c r="AC452" s="96" t="n"/>
      <c r="AD452" s="96" t="n"/>
      <c r="AE452" s="96" t="n"/>
      <c r="AF452" s="96" t="n"/>
      <c r="AG452" s="96" t="n"/>
      <c r="AH452" s="96" t="n"/>
      <c r="AI452" s="96" t="n"/>
      <c r="AJ452" s="96" t="n"/>
      <c r="AK452" s="96" t="n"/>
      <c r="AL452" s="96" t="n"/>
      <c r="AM452" s="96" t="n"/>
      <c r="AN452" s="96" t="n"/>
      <c r="AO452" s="96" t="n"/>
      <c r="AP452" s="96" t="n"/>
      <c r="AQ452" s="96" t="n"/>
      <c r="AR452" s="96" t="n"/>
      <c r="AS452" s="96" t="n"/>
      <c r="AT452" s="96" t="n"/>
      <c r="AU452" s="96" t="n"/>
      <c r="AV452" s="96" t="n"/>
      <c r="AW452" s="96" t="n"/>
      <c r="AX452" s="96" t="n"/>
      <c r="AY452" s="96" t="n"/>
      <c r="AZ452" s="96" t="n"/>
      <c r="BA452" s="96" t="n"/>
      <c r="BB452" s="96" t="n"/>
    </row>
    <row r="453" ht="22" customHeight="1" s="110">
      <c r="A453" s="97" t="n"/>
      <c r="B453" s="97" t="n"/>
      <c r="C453" s="97" t="n"/>
      <c r="D453" s="97" t="n"/>
      <c r="E453" s="97" t="n"/>
      <c r="F453" s="97" t="n"/>
      <c r="G453" s="97" t="n"/>
      <c r="H453" s="97" t="n"/>
      <c r="I453" s="97" t="n"/>
      <c r="J453" s="97" t="n"/>
      <c r="L453" s="97" t="n"/>
      <c r="M453" s="97" t="n"/>
      <c r="N453" s="97" t="n"/>
      <c r="O453" s="97" t="n"/>
      <c r="Q453" s="97" t="n"/>
      <c r="R453" s="97" t="n"/>
      <c r="S453" s="97" t="n"/>
      <c r="T453" s="97" t="n"/>
      <c r="U453" s="97" t="n"/>
      <c r="V453" s="97" t="n"/>
      <c r="W453" s="97" t="n"/>
      <c r="X453" s="97" t="n"/>
      <c r="Y453" s="97" t="n"/>
      <c r="Z453" s="97" t="n"/>
      <c r="AA453" s="97" t="n"/>
      <c r="AB453" s="97" t="n"/>
      <c r="AC453" s="97" t="n"/>
      <c r="AD453" s="97" t="n"/>
      <c r="AE453" s="97" t="n"/>
      <c r="AF453" s="97" t="n"/>
      <c r="AG453" s="97" t="n"/>
      <c r="AH453" s="97" t="n"/>
      <c r="AI453" s="97" t="n"/>
      <c r="AJ453" s="97" t="n"/>
      <c r="AK453" s="97" t="n"/>
      <c r="AL453" s="97" t="n"/>
      <c r="AM453" s="97" t="n"/>
      <c r="AN453" s="97" t="n"/>
      <c r="AO453" s="97" t="n"/>
      <c r="AP453" s="97" t="n"/>
      <c r="AQ453" s="97" t="n"/>
      <c r="AR453" s="97" t="n"/>
      <c r="AS453" s="97" t="n"/>
      <c r="AT453" s="97" t="n"/>
      <c r="AU453" s="97" t="n"/>
      <c r="AV453" s="97" t="n"/>
      <c r="AW453" s="97" t="n"/>
      <c r="AX453" s="97" t="n"/>
      <c r="AY453" s="97" t="n"/>
      <c r="AZ453" s="97" t="n"/>
      <c r="BA453" s="97" t="n"/>
      <c r="BB453" s="97" t="n"/>
    </row>
    <row r="454" ht="22" customHeight="1" s="110">
      <c r="A454" s="96" t="n"/>
      <c r="B454" s="96" t="n"/>
      <c r="C454" s="96" t="n"/>
      <c r="D454" s="96" t="n"/>
      <c r="E454" s="96" t="n"/>
      <c r="F454" s="96" t="n"/>
      <c r="G454" s="96" t="n"/>
      <c r="H454" s="96" t="n"/>
      <c r="I454" s="96" t="n"/>
      <c r="J454" s="96" t="n"/>
      <c r="L454" s="96" t="n"/>
      <c r="M454" s="96" t="n"/>
      <c r="N454" s="96" t="n"/>
      <c r="O454" s="96" t="n"/>
      <c r="Q454" s="96" t="n"/>
      <c r="R454" s="96" t="n"/>
      <c r="S454" s="96" t="n"/>
      <c r="T454" s="96" t="n"/>
      <c r="U454" s="96" t="n"/>
      <c r="V454" s="96" t="n"/>
      <c r="W454" s="96" t="n"/>
      <c r="X454" s="96" t="n"/>
      <c r="Y454" s="96" t="n"/>
      <c r="Z454" s="96" t="n"/>
      <c r="AA454" s="96" t="n"/>
      <c r="AB454" s="96" t="n"/>
      <c r="AC454" s="96" t="n"/>
      <c r="AD454" s="96" t="n"/>
      <c r="AE454" s="96" t="n"/>
      <c r="AF454" s="96" t="n"/>
      <c r="AG454" s="96" t="n"/>
      <c r="AH454" s="96" t="n"/>
      <c r="AI454" s="96" t="n"/>
      <c r="AJ454" s="96" t="n"/>
      <c r="AK454" s="96" t="n"/>
      <c r="AL454" s="96" t="n"/>
      <c r="AM454" s="96" t="n"/>
      <c r="AN454" s="96" t="n"/>
      <c r="AO454" s="96" t="n"/>
      <c r="AP454" s="96" t="n"/>
      <c r="AQ454" s="96" t="n"/>
      <c r="AR454" s="96" t="n"/>
      <c r="AS454" s="96" t="n"/>
      <c r="AT454" s="96" t="n"/>
      <c r="AU454" s="96" t="n"/>
      <c r="AV454" s="96" t="n"/>
      <c r="AW454" s="96" t="n"/>
      <c r="AX454" s="96" t="n"/>
      <c r="AY454" s="96" t="n"/>
      <c r="AZ454" s="96" t="n"/>
      <c r="BA454" s="96" t="n"/>
      <c r="BB454" s="96" t="n"/>
    </row>
    <row r="455" ht="22" customHeight="1" s="110">
      <c r="A455" s="97" t="n"/>
      <c r="B455" s="97" t="n"/>
      <c r="C455" s="97" t="n"/>
      <c r="D455" s="97" t="n"/>
      <c r="E455" s="97" t="n"/>
      <c r="F455" s="97" t="n"/>
      <c r="G455" s="97" t="n"/>
      <c r="H455" s="97" t="n"/>
      <c r="I455" s="97" t="n"/>
      <c r="J455" s="97" t="n"/>
      <c r="L455" s="97" t="n"/>
      <c r="M455" s="97" t="n"/>
      <c r="N455" s="97" t="n"/>
      <c r="O455" s="97" t="n"/>
      <c r="Q455" s="97" t="n"/>
      <c r="R455" s="97" t="n"/>
      <c r="S455" s="97" t="n"/>
      <c r="T455" s="97" t="n"/>
      <c r="U455" s="97" t="n"/>
      <c r="V455" s="97" t="n"/>
      <c r="W455" s="97" t="n"/>
      <c r="X455" s="97" t="n"/>
      <c r="Y455" s="97" t="n"/>
      <c r="Z455" s="97" t="n"/>
      <c r="AA455" s="97" t="n"/>
      <c r="AB455" s="97" t="n"/>
      <c r="AC455" s="97" t="n"/>
      <c r="AD455" s="97" t="n"/>
      <c r="AE455" s="97" t="n"/>
      <c r="AF455" s="97" t="n"/>
      <c r="AG455" s="97" t="n"/>
      <c r="AH455" s="97" t="n"/>
      <c r="AI455" s="97" t="n"/>
      <c r="AJ455" s="97" t="n"/>
      <c r="AK455" s="97" t="n"/>
      <c r="AL455" s="97" t="n"/>
      <c r="AM455" s="97" t="n"/>
      <c r="AN455" s="97" t="n"/>
      <c r="AO455" s="97" t="n"/>
      <c r="AP455" s="97" t="n"/>
      <c r="AQ455" s="97" t="n"/>
      <c r="AR455" s="97" t="n"/>
      <c r="AS455" s="97" t="n"/>
      <c r="AT455" s="97" t="n"/>
      <c r="AU455" s="97" t="n"/>
      <c r="AV455" s="97" t="n"/>
      <c r="AW455" s="97" t="n"/>
      <c r="AX455" s="97" t="n"/>
      <c r="AY455" s="97" t="n"/>
      <c r="AZ455" s="97" t="n"/>
      <c r="BA455" s="97" t="n"/>
      <c r="BB455" s="97" t="n"/>
    </row>
    <row r="456" ht="22" customHeight="1" s="110">
      <c r="A456" s="96" t="n"/>
      <c r="B456" s="96" t="n"/>
      <c r="C456" s="96" t="n"/>
      <c r="D456" s="96" t="n"/>
      <c r="E456" s="96" t="n"/>
      <c r="F456" s="96" t="n"/>
      <c r="G456" s="96" t="n"/>
      <c r="H456" s="96" t="n"/>
      <c r="I456" s="96" t="n"/>
      <c r="J456" s="96" t="n"/>
      <c r="L456" s="96" t="n"/>
      <c r="M456" s="96" t="n"/>
      <c r="N456" s="96" t="n"/>
      <c r="O456" s="96" t="n"/>
      <c r="Q456" s="96" t="n"/>
      <c r="R456" s="96" t="n"/>
      <c r="S456" s="96" t="n"/>
      <c r="T456" s="96" t="n"/>
      <c r="U456" s="96" t="n"/>
      <c r="V456" s="96" t="n"/>
      <c r="W456" s="96" t="n"/>
      <c r="X456" s="96" t="n"/>
      <c r="Y456" s="96" t="n"/>
      <c r="Z456" s="96" t="n"/>
      <c r="AA456" s="96" t="n"/>
      <c r="AB456" s="96" t="n"/>
      <c r="AC456" s="96" t="n"/>
      <c r="AD456" s="96" t="n"/>
      <c r="AE456" s="96" t="n"/>
      <c r="AF456" s="96" t="n"/>
      <c r="AG456" s="96" t="n"/>
      <c r="AH456" s="96" t="n"/>
      <c r="AI456" s="96" t="n"/>
      <c r="AJ456" s="96" t="n"/>
      <c r="AK456" s="96" t="n"/>
      <c r="AL456" s="96" t="n"/>
      <c r="AM456" s="96" t="n"/>
      <c r="AN456" s="96" t="n"/>
      <c r="AO456" s="96" t="n"/>
      <c r="AP456" s="96" t="n"/>
      <c r="AQ456" s="96" t="n"/>
      <c r="AR456" s="96" t="n"/>
      <c r="AS456" s="96" t="n"/>
      <c r="AT456" s="96" t="n"/>
      <c r="AU456" s="96" t="n"/>
      <c r="AV456" s="96" t="n"/>
      <c r="AW456" s="96" t="n"/>
      <c r="AX456" s="96" t="n"/>
      <c r="AY456" s="96" t="n"/>
      <c r="AZ456" s="96" t="n"/>
      <c r="BA456" s="96" t="n"/>
      <c r="BB456" s="96" t="n"/>
    </row>
    <row r="457" ht="22" customHeight="1" s="110">
      <c r="A457" s="97" t="n"/>
      <c r="B457" s="97" t="n"/>
      <c r="C457" s="97" t="n"/>
      <c r="D457" s="97" t="n"/>
      <c r="E457" s="97" t="n"/>
      <c r="F457" s="97" t="n"/>
      <c r="G457" s="97" t="n"/>
      <c r="H457" s="97" t="n"/>
      <c r="I457" s="97" t="n"/>
      <c r="J457" s="97" t="n"/>
      <c r="L457" s="97" t="n"/>
      <c r="M457" s="97" t="n"/>
      <c r="N457" s="97" t="n"/>
      <c r="O457" s="97" t="n"/>
      <c r="Q457" s="97" t="n"/>
      <c r="R457" s="97" t="n"/>
      <c r="S457" s="97" t="n"/>
      <c r="T457" s="97" t="n"/>
      <c r="U457" s="97" t="n"/>
      <c r="V457" s="97" t="n"/>
      <c r="W457" s="97" t="n"/>
      <c r="X457" s="97" t="n"/>
      <c r="Y457" s="97" t="n"/>
      <c r="Z457" s="97" t="n"/>
      <c r="AA457" s="97" t="n"/>
      <c r="AB457" s="97" t="n"/>
      <c r="AC457" s="97" t="n"/>
      <c r="AD457" s="97" t="n"/>
      <c r="AE457" s="97" t="n"/>
      <c r="AF457" s="97" t="n"/>
      <c r="AG457" s="97" t="n"/>
      <c r="AH457" s="97" t="n"/>
      <c r="AI457" s="97" t="n"/>
      <c r="AJ457" s="97" t="n"/>
      <c r="AK457" s="97" t="n"/>
      <c r="AL457" s="97" t="n"/>
      <c r="AM457" s="97" t="n"/>
      <c r="AN457" s="97" t="n"/>
      <c r="AO457" s="97" t="n"/>
      <c r="AP457" s="97" t="n"/>
      <c r="AQ457" s="97" t="n"/>
      <c r="AR457" s="97" t="n"/>
      <c r="AS457" s="97" t="n"/>
      <c r="AT457" s="97" t="n"/>
      <c r="AU457" s="97" t="n"/>
      <c r="AV457" s="97" t="n"/>
      <c r="AW457" s="97" t="n"/>
      <c r="AX457" s="97" t="n"/>
      <c r="AY457" s="97" t="n"/>
      <c r="AZ457" s="97" t="n"/>
      <c r="BA457" s="97" t="n"/>
      <c r="BB457" s="97" t="n"/>
    </row>
    <row r="458" ht="22" customHeight="1" s="110">
      <c r="A458" s="96" t="n"/>
      <c r="B458" s="96" t="n"/>
      <c r="C458" s="96" t="n"/>
      <c r="D458" s="96" t="n"/>
      <c r="E458" s="96" t="n"/>
      <c r="F458" s="96" t="n"/>
      <c r="G458" s="96" t="n"/>
      <c r="H458" s="96" t="n"/>
      <c r="I458" s="96" t="n"/>
      <c r="J458" s="96" t="n"/>
      <c r="L458" s="96" t="n"/>
      <c r="M458" s="96" t="n"/>
      <c r="N458" s="96" t="n"/>
      <c r="O458" s="96" t="n"/>
      <c r="Q458" s="96" t="n"/>
      <c r="R458" s="96" t="n"/>
      <c r="S458" s="96" t="n"/>
      <c r="T458" s="96" t="n"/>
      <c r="U458" s="96" t="n"/>
      <c r="V458" s="96" t="n"/>
      <c r="W458" s="96" t="n"/>
      <c r="X458" s="96" t="n"/>
      <c r="Y458" s="96" t="n"/>
      <c r="Z458" s="96" t="n"/>
      <c r="AA458" s="96" t="n"/>
      <c r="AB458" s="96" t="n"/>
      <c r="AC458" s="96" t="n"/>
      <c r="AD458" s="96" t="n"/>
      <c r="AE458" s="96" t="n"/>
      <c r="AF458" s="96" t="n"/>
      <c r="AG458" s="96" t="n"/>
      <c r="AH458" s="96" t="n"/>
      <c r="AI458" s="96" t="n"/>
      <c r="AJ458" s="96" t="n"/>
      <c r="AK458" s="96" t="n"/>
      <c r="AL458" s="96" t="n"/>
      <c r="AM458" s="96" t="n"/>
      <c r="AN458" s="96" t="n"/>
      <c r="AO458" s="96" t="n"/>
      <c r="AP458" s="96" t="n"/>
      <c r="AQ458" s="96" t="n"/>
      <c r="AR458" s="96" t="n"/>
      <c r="AS458" s="96" t="n"/>
      <c r="AT458" s="96" t="n"/>
      <c r="AU458" s="96" t="n"/>
      <c r="AV458" s="96" t="n"/>
      <c r="AW458" s="96" t="n"/>
      <c r="AX458" s="96" t="n"/>
      <c r="AY458" s="96" t="n"/>
      <c r="AZ458" s="96" t="n"/>
      <c r="BA458" s="96" t="n"/>
      <c r="BB458" s="96" t="n"/>
    </row>
    <row r="459" ht="22" customHeight="1" s="110">
      <c r="A459" s="97" t="n"/>
      <c r="B459" s="97" t="n"/>
      <c r="C459" s="97" t="n"/>
      <c r="D459" s="97" t="n"/>
      <c r="E459" s="97" t="n"/>
      <c r="F459" s="97" t="n"/>
      <c r="G459" s="97" t="n"/>
      <c r="H459" s="97" t="n"/>
      <c r="I459" s="97" t="n"/>
      <c r="J459" s="97" t="n"/>
      <c r="L459" s="97" t="n"/>
      <c r="M459" s="97" t="n"/>
      <c r="N459" s="97" t="n"/>
      <c r="O459" s="97" t="n"/>
      <c r="Q459" s="97" t="n"/>
      <c r="R459" s="97" t="n"/>
      <c r="S459" s="97" t="n"/>
      <c r="T459" s="97" t="n"/>
      <c r="U459" s="97" t="n"/>
      <c r="V459" s="97" t="n"/>
      <c r="W459" s="97" t="n"/>
      <c r="X459" s="97" t="n"/>
      <c r="Y459" s="97" t="n"/>
      <c r="Z459" s="97" t="n"/>
      <c r="AA459" s="97" t="n"/>
      <c r="AB459" s="97" t="n"/>
      <c r="AC459" s="97" t="n"/>
      <c r="AD459" s="97" t="n"/>
      <c r="AE459" s="97" t="n"/>
      <c r="AF459" s="97" t="n"/>
      <c r="AG459" s="97" t="n"/>
      <c r="AH459" s="97" t="n"/>
      <c r="AI459" s="97" t="n"/>
      <c r="AJ459" s="97" t="n"/>
      <c r="AK459" s="97" t="n"/>
      <c r="AL459" s="97" t="n"/>
      <c r="AM459" s="97" t="n"/>
      <c r="AN459" s="97" t="n"/>
      <c r="AO459" s="97" t="n"/>
      <c r="AP459" s="97" t="n"/>
      <c r="AQ459" s="97" t="n"/>
      <c r="AR459" s="97" t="n"/>
      <c r="AS459" s="97" t="n"/>
      <c r="AT459" s="97" t="n"/>
      <c r="AU459" s="97" t="n"/>
      <c r="AV459" s="97" t="n"/>
      <c r="AW459" s="97" t="n"/>
      <c r="AX459" s="97" t="n"/>
      <c r="AY459" s="97" t="n"/>
      <c r="AZ459" s="97" t="n"/>
      <c r="BA459" s="97" t="n"/>
      <c r="BB459" s="97" t="n"/>
    </row>
    <row r="460" ht="22" customHeight="1" s="110">
      <c r="A460" s="96" t="n"/>
      <c r="B460" s="96" t="n"/>
      <c r="C460" s="96" t="n"/>
      <c r="D460" s="96" t="n"/>
      <c r="E460" s="96" t="n"/>
      <c r="F460" s="96" t="n"/>
      <c r="G460" s="96" t="n"/>
      <c r="H460" s="96" t="n"/>
      <c r="I460" s="96" t="n"/>
      <c r="J460" s="96" t="n"/>
      <c r="L460" s="96" t="n"/>
      <c r="M460" s="96" t="n"/>
      <c r="N460" s="96" t="n"/>
      <c r="O460" s="96" t="n"/>
      <c r="Q460" s="96" t="n"/>
      <c r="R460" s="96" t="n"/>
      <c r="S460" s="96" t="n"/>
      <c r="T460" s="96" t="n"/>
      <c r="U460" s="96" t="n"/>
      <c r="V460" s="96" t="n"/>
      <c r="W460" s="96" t="n"/>
      <c r="X460" s="96" t="n"/>
      <c r="Y460" s="96" t="n"/>
      <c r="Z460" s="96" t="n"/>
      <c r="AA460" s="96" t="n"/>
      <c r="AB460" s="96" t="n"/>
      <c r="AC460" s="96" t="n"/>
      <c r="AD460" s="96" t="n"/>
      <c r="AE460" s="96" t="n"/>
      <c r="AF460" s="96" t="n"/>
      <c r="AG460" s="96" t="n"/>
      <c r="AH460" s="96" t="n"/>
      <c r="AI460" s="96" t="n"/>
      <c r="AJ460" s="96" t="n"/>
      <c r="AK460" s="96" t="n"/>
      <c r="AL460" s="96" t="n"/>
      <c r="AM460" s="96" t="n"/>
      <c r="AN460" s="96" t="n"/>
      <c r="AO460" s="96" t="n"/>
      <c r="AP460" s="96" t="n"/>
      <c r="AQ460" s="96" t="n"/>
      <c r="AR460" s="96" t="n"/>
      <c r="AS460" s="96" t="n"/>
      <c r="AT460" s="96" t="n"/>
      <c r="AU460" s="96" t="n"/>
      <c r="AV460" s="96" t="n"/>
      <c r="AW460" s="96" t="n"/>
      <c r="AX460" s="96" t="n"/>
      <c r="AY460" s="96" t="n"/>
      <c r="AZ460" s="96" t="n"/>
      <c r="BA460" s="96" t="n"/>
      <c r="BB460" s="96" t="n"/>
    </row>
    <row r="461" ht="22" customHeight="1" s="110">
      <c r="A461" s="97" t="n"/>
      <c r="B461" s="97" t="n"/>
      <c r="C461" s="97" t="n"/>
      <c r="D461" s="97" t="n"/>
      <c r="E461" s="97" t="n"/>
      <c r="F461" s="97" t="n"/>
      <c r="G461" s="97" t="n"/>
      <c r="H461" s="97" t="n"/>
      <c r="I461" s="97" t="n"/>
      <c r="J461" s="97" t="n"/>
      <c r="L461" s="97" t="n"/>
      <c r="M461" s="97" t="n"/>
      <c r="N461" s="97" t="n"/>
      <c r="O461" s="97" t="n"/>
      <c r="Q461" s="97" t="n"/>
      <c r="R461" s="97" t="n"/>
      <c r="S461" s="97" t="n"/>
      <c r="T461" s="97" t="n"/>
      <c r="U461" s="97" t="n"/>
      <c r="V461" s="97" t="n"/>
      <c r="W461" s="97" t="n"/>
      <c r="X461" s="97" t="n"/>
      <c r="Y461" s="97" t="n"/>
      <c r="Z461" s="97" t="n"/>
      <c r="AA461" s="97" t="n"/>
      <c r="AB461" s="97" t="n"/>
      <c r="AC461" s="97" t="n"/>
      <c r="AD461" s="97" t="n"/>
      <c r="AE461" s="97" t="n"/>
      <c r="AF461" s="97" t="n"/>
      <c r="AG461" s="97" t="n"/>
      <c r="AH461" s="97" t="n"/>
      <c r="AI461" s="97" t="n"/>
      <c r="AJ461" s="97" t="n"/>
      <c r="AK461" s="97" t="n"/>
      <c r="AL461" s="97" t="n"/>
      <c r="AM461" s="97" t="n"/>
      <c r="AN461" s="97" t="n"/>
      <c r="AO461" s="97" t="n"/>
      <c r="AP461" s="97" t="n"/>
      <c r="AQ461" s="97" t="n"/>
      <c r="AR461" s="97" t="n"/>
      <c r="AS461" s="97" t="n"/>
      <c r="AT461" s="97" t="n"/>
      <c r="AU461" s="97" t="n"/>
      <c r="AV461" s="97" t="n"/>
      <c r="AW461" s="97" t="n"/>
      <c r="AX461" s="97" t="n"/>
      <c r="AY461" s="97" t="n"/>
      <c r="AZ461" s="97" t="n"/>
      <c r="BA461" s="97" t="n"/>
      <c r="BB461" s="97" t="n"/>
    </row>
    <row r="462" ht="22" customHeight="1" s="110">
      <c r="A462" s="96" t="n"/>
      <c r="B462" s="96" t="n"/>
      <c r="C462" s="96" t="n"/>
      <c r="D462" s="96" t="n"/>
      <c r="E462" s="96" t="n"/>
      <c r="F462" s="96" t="n"/>
      <c r="G462" s="96" t="n"/>
      <c r="H462" s="96" t="n"/>
      <c r="I462" s="96" t="n"/>
      <c r="J462" s="96" t="n"/>
      <c r="L462" s="96" t="n"/>
      <c r="M462" s="96" t="n"/>
      <c r="N462" s="96" t="n"/>
      <c r="O462" s="96" t="n"/>
      <c r="Q462" s="96" t="n"/>
      <c r="R462" s="96" t="n"/>
      <c r="S462" s="96" t="n"/>
      <c r="T462" s="96" t="n"/>
      <c r="U462" s="96" t="n"/>
      <c r="V462" s="96" t="n"/>
      <c r="W462" s="96" t="n"/>
      <c r="X462" s="96" t="n"/>
      <c r="Y462" s="96" t="n"/>
      <c r="Z462" s="96" t="n"/>
      <c r="AA462" s="96" t="n"/>
      <c r="AB462" s="96" t="n"/>
      <c r="AC462" s="96" t="n"/>
      <c r="AD462" s="96" t="n"/>
      <c r="AE462" s="96" t="n"/>
      <c r="AF462" s="96" t="n"/>
      <c r="AG462" s="96" t="n"/>
      <c r="AH462" s="96" t="n"/>
      <c r="AI462" s="96" t="n"/>
      <c r="AJ462" s="96" t="n"/>
      <c r="AK462" s="96" t="n"/>
      <c r="AL462" s="96" t="n"/>
      <c r="AM462" s="96" t="n"/>
      <c r="AN462" s="96" t="n"/>
      <c r="AO462" s="96" t="n"/>
      <c r="AP462" s="96" t="n"/>
      <c r="AQ462" s="96" t="n"/>
      <c r="AR462" s="96" t="n"/>
      <c r="AS462" s="96" t="n"/>
      <c r="AT462" s="96" t="n"/>
      <c r="AU462" s="96" t="n"/>
      <c r="AV462" s="96" t="n"/>
      <c r="AW462" s="96" t="n"/>
      <c r="AX462" s="96" t="n"/>
      <c r="AY462" s="96" t="n"/>
      <c r="AZ462" s="96" t="n"/>
      <c r="BA462" s="96" t="n"/>
      <c r="BB462" s="96" t="n"/>
    </row>
    <row r="463" ht="22" customHeight="1" s="110">
      <c r="A463" s="97" t="n"/>
      <c r="B463" s="97" t="n"/>
      <c r="C463" s="97" t="n"/>
      <c r="D463" s="97" t="n"/>
      <c r="E463" s="97" t="n"/>
      <c r="F463" s="97" t="n"/>
      <c r="G463" s="97" t="n"/>
      <c r="H463" s="97" t="n"/>
      <c r="I463" s="97" t="n"/>
      <c r="J463" s="97" t="n"/>
      <c r="L463" s="97" t="n"/>
      <c r="M463" s="97" t="n"/>
      <c r="N463" s="97" t="n"/>
      <c r="O463" s="97" t="n"/>
      <c r="Q463" s="97" t="n"/>
      <c r="R463" s="97" t="n"/>
      <c r="S463" s="97" t="n"/>
      <c r="T463" s="97" t="n"/>
      <c r="U463" s="97" t="n"/>
      <c r="V463" s="97" t="n"/>
      <c r="W463" s="97" t="n"/>
      <c r="X463" s="97" t="n"/>
      <c r="Y463" s="97" t="n"/>
      <c r="Z463" s="97" t="n"/>
      <c r="AA463" s="97" t="n"/>
      <c r="AB463" s="97" t="n"/>
      <c r="AC463" s="97" t="n"/>
      <c r="AD463" s="97" t="n"/>
      <c r="AE463" s="97" t="n"/>
      <c r="AF463" s="97" t="n"/>
      <c r="AG463" s="97" t="n"/>
      <c r="AH463" s="97" t="n"/>
      <c r="AI463" s="97" t="n"/>
      <c r="AJ463" s="97" t="n"/>
      <c r="AK463" s="97" t="n"/>
      <c r="AL463" s="97" t="n"/>
      <c r="AM463" s="97" t="n"/>
      <c r="AN463" s="97" t="n"/>
      <c r="AO463" s="97" t="n"/>
      <c r="AP463" s="97" t="n"/>
      <c r="AQ463" s="97" t="n"/>
      <c r="AR463" s="97" t="n"/>
      <c r="AS463" s="97" t="n"/>
      <c r="AT463" s="97" t="n"/>
      <c r="AU463" s="97" t="n"/>
      <c r="AV463" s="97" t="n"/>
      <c r="AW463" s="97" t="n"/>
      <c r="AX463" s="97" t="n"/>
      <c r="AY463" s="97" t="n"/>
      <c r="AZ463" s="97" t="n"/>
      <c r="BA463" s="97" t="n"/>
      <c r="BB463" s="97" t="n"/>
    </row>
    <row r="464" ht="22" customHeight="1" s="110">
      <c r="A464" s="96" t="n"/>
      <c r="B464" s="96" t="n"/>
      <c r="C464" s="96" t="n"/>
      <c r="D464" s="96" t="n"/>
      <c r="E464" s="96" t="n"/>
      <c r="F464" s="96" t="n"/>
      <c r="G464" s="96" t="n"/>
      <c r="H464" s="96" t="n"/>
      <c r="I464" s="96" t="n"/>
      <c r="J464" s="96" t="n"/>
      <c r="L464" s="96" t="n"/>
      <c r="M464" s="96" t="n"/>
      <c r="N464" s="96" t="n"/>
      <c r="O464" s="96" t="n"/>
      <c r="Q464" s="96" t="n"/>
      <c r="R464" s="96" t="n"/>
      <c r="S464" s="96" t="n"/>
      <c r="T464" s="96" t="n"/>
      <c r="U464" s="96" t="n"/>
      <c r="V464" s="96" t="n"/>
      <c r="W464" s="96" t="n"/>
      <c r="X464" s="96" t="n"/>
      <c r="Y464" s="96" t="n"/>
      <c r="Z464" s="96" t="n"/>
      <c r="AA464" s="96" t="n"/>
      <c r="AB464" s="96" t="n"/>
      <c r="AC464" s="96" t="n"/>
      <c r="AD464" s="96" t="n"/>
      <c r="AE464" s="96" t="n"/>
      <c r="AF464" s="96" t="n"/>
      <c r="AG464" s="96" t="n"/>
      <c r="AH464" s="96" t="n"/>
      <c r="AI464" s="96" t="n"/>
      <c r="AJ464" s="96" t="n"/>
      <c r="AK464" s="96" t="n"/>
      <c r="AL464" s="96" t="n"/>
      <c r="AM464" s="96" t="n"/>
      <c r="AN464" s="96" t="n"/>
      <c r="AO464" s="96" t="n"/>
      <c r="AP464" s="96" t="n"/>
      <c r="AQ464" s="96" t="n"/>
      <c r="AR464" s="96" t="n"/>
      <c r="AS464" s="96" t="n"/>
      <c r="AT464" s="96" t="n"/>
      <c r="AU464" s="96" t="n"/>
      <c r="AV464" s="96" t="n"/>
      <c r="AW464" s="96" t="n"/>
      <c r="AX464" s="96" t="n"/>
      <c r="AY464" s="96" t="n"/>
      <c r="AZ464" s="96" t="n"/>
      <c r="BA464" s="96" t="n"/>
      <c r="BB464" s="96" t="n"/>
    </row>
    <row r="465" ht="22" customHeight="1" s="110">
      <c r="A465" s="97" t="n"/>
      <c r="B465" s="97" t="n"/>
      <c r="C465" s="97" t="n"/>
      <c r="D465" s="97" t="n"/>
      <c r="E465" s="97" t="n"/>
      <c r="F465" s="97" t="n"/>
      <c r="G465" s="97" t="n"/>
      <c r="H465" s="97" t="n"/>
      <c r="I465" s="97" t="n"/>
      <c r="J465" s="97" t="n"/>
      <c r="L465" s="97" t="n"/>
      <c r="M465" s="97" t="n"/>
      <c r="N465" s="97" t="n"/>
      <c r="O465" s="97" t="n"/>
      <c r="Q465" s="97" t="n"/>
      <c r="R465" s="97" t="n"/>
      <c r="S465" s="97" t="n"/>
      <c r="T465" s="97" t="n"/>
      <c r="U465" s="97" t="n"/>
      <c r="V465" s="97" t="n"/>
      <c r="W465" s="97" t="n"/>
      <c r="X465" s="97" t="n"/>
      <c r="Y465" s="97" t="n"/>
      <c r="Z465" s="97" t="n"/>
      <c r="AA465" s="97" t="n"/>
      <c r="AB465" s="97" t="n"/>
      <c r="AC465" s="97" t="n"/>
      <c r="AD465" s="97" t="n"/>
      <c r="AE465" s="97" t="n"/>
      <c r="AF465" s="97" t="n"/>
      <c r="AG465" s="97" t="n"/>
      <c r="AH465" s="97" t="n"/>
      <c r="AI465" s="97" t="n"/>
      <c r="AJ465" s="97" t="n"/>
      <c r="AK465" s="97" t="n"/>
      <c r="AL465" s="97" t="n"/>
      <c r="AM465" s="97" t="n"/>
      <c r="AN465" s="97" t="n"/>
      <c r="AO465" s="97" t="n"/>
      <c r="AP465" s="97" t="n"/>
      <c r="AQ465" s="97" t="n"/>
      <c r="AR465" s="97" t="n"/>
      <c r="AS465" s="97" t="n"/>
      <c r="AT465" s="97" t="n"/>
      <c r="AU465" s="97" t="n"/>
      <c r="AV465" s="97" t="n"/>
      <c r="AW465" s="97" t="n"/>
      <c r="AX465" s="97" t="n"/>
      <c r="AY465" s="97" t="n"/>
      <c r="AZ465" s="97" t="n"/>
      <c r="BA465" s="97" t="n"/>
      <c r="BB465" s="97" t="n"/>
    </row>
    <row r="466" ht="22" customHeight="1" s="110">
      <c r="A466" s="96" t="n"/>
      <c r="B466" s="96" t="n"/>
      <c r="C466" s="96" t="n"/>
      <c r="D466" s="96" t="n"/>
      <c r="E466" s="96" t="n"/>
      <c r="F466" s="96" t="n"/>
      <c r="G466" s="96" t="n"/>
      <c r="H466" s="96" t="n"/>
      <c r="I466" s="96" t="n"/>
      <c r="J466" s="96" t="n"/>
      <c r="L466" s="96" t="n"/>
      <c r="M466" s="96" t="n"/>
      <c r="N466" s="96" t="n"/>
      <c r="O466" s="96" t="n"/>
      <c r="Q466" s="96" t="n"/>
      <c r="R466" s="96" t="n"/>
      <c r="S466" s="96" t="n"/>
      <c r="T466" s="96" t="n"/>
      <c r="U466" s="96" t="n"/>
      <c r="V466" s="96" t="n"/>
      <c r="W466" s="96" t="n"/>
      <c r="X466" s="96" t="n"/>
      <c r="Y466" s="96" t="n"/>
      <c r="Z466" s="96" t="n"/>
      <c r="AA466" s="96" t="n"/>
      <c r="AB466" s="96" t="n"/>
      <c r="AC466" s="96" t="n"/>
      <c r="AD466" s="96" t="n"/>
      <c r="AE466" s="96" t="n"/>
      <c r="AF466" s="96" t="n"/>
      <c r="AG466" s="96" t="n"/>
      <c r="AH466" s="96" t="n"/>
      <c r="AI466" s="96" t="n"/>
      <c r="AJ466" s="96" t="n"/>
      <c r="AK466" s="96" t="n"/>
      <c r="AL466" s="96" t="n"/>
      <c r="AM466" s="96" t="n"/>
      <c r="AN466" s="96" t="n"/>
      <c r="AO466" s="96" t="n"/>
      <c r="AP466" s="96" t="n"/>
      <c r="AQ466" s="96" t="n"/>
      <c r="AR466" s="96" t="n"/>
      <c r="AS466" s="96" t="n"/>
      <c r="AT466" s="96" t="n"/>
      <c r="AU466" s="96" t="n"/>
      <c r="AV466" s="96" t="n"/>
      <c r="AW466" s="96" t="n"/>
      <c r="AX466" s="96" t="n"/>
      <c r="AY466" s="96" t="n"/>
      <c r="AZ466" s="96" t="n"/>
      <c r="BA466" s="96" t="n"/>
      <c r="BB466" s="96" t="n"/>
    </row>
    <row r="467" ht="22" customHeight="1" s="110">
      <c r="A467" s="97" t="n"/>
      <c r="B467" s="97" t="n"/>
      <c r="C467" s="97" t="n"/>
      <c r="D467" s="97" t="n"/>
      <c r="E467" s="97" t="n"/>
      <c r="F467" s="97" t="n"/>
      <c r="G467" s="97" t="n"/>
      <c r="H467" s="97" t="n"/>
      <c r="I467" s="97" t="n"/>
      <c r="J467" s="97" t="n"/>
      <c r="L467" s="97" t="n"/>
      <c r="M467" s="97" t="n"/>
      <c r="N467" s="97" t="n"/>
      <c r="O467" s="97" t="n"/>
      <c r="Q467" s="97" t="n"/>
      <c r="R467" s="97" t="n"/>
      <c r="S467" s="97" t="n"/>
      <c r="T467" s="97" t="n"/>
      <c r="U467" s="97" t="n"/>
      <c r="V467" s="97" t="n"/>
      <c r="W467" s="97" t="n"/>
      <c r="X467" s="97" t="n"/>
      <c r="Y467" s="97" t="n"/>
      <c r="Z467" s="97" t="n"/>
      <c r="AA467" s="97" t="n"/>
      <c r="AB467" s="97" t="n"/>
      <c r="AC467" s="97" t="n"/>
      <c r="AD467" s="97" t="n"/>
      <c r="AE467" s="97" t="n"/>
      <c r="AF467" s="97" t="n"/>
      <c r="AG467" s="97" t="n"/>
      <c r="AH467" s="97" t="n"/>
      <c r="AI467" s="97" t="n"/>
      <c r="AJ467" s="97" t="n"/>
      <c r="AK467" s="97" t="n"/>
      <c r="AL467" s="97" t="n"/>
      <c r="AM467" s="97" t="n"/>
      <c r="AN467" s="97" t="n"/>
      <c r="AO467" s="97" t="n"/>
      <c r="AP467" s="97" t="n"/>
      <c r="AQ467" s="97" t="n"/>
      <c r="AR467" s="97" t="n"/>
      <c r="AS467" s="97" t="n"/>
      <c r="AT467" s="97" t="n"/>
      <c r="AU467" s="97" t="n"/>
      <c r="AV467" s="97" t="n"/>
      <c r="AW467" s="97" t="n"/>
      <c r="AX467" s="97" t="n"/>
      <c r="AY467" s="97" t="n"/>
      <c r="AZ467" s="97" t="n"/>
      <c r="BA467" s="97" t="n"/>
      <c r="BB467" s="97" t="n"/>
    </row>
    <row r="468" ht="22" customHeight="1" s="110">
      <c r="A468" s="96" t="n"/>
      <c r="B468" s="96" t="n"/>
      <c r="C468" s="96" t="n"/>
      <c r="D468" s="96" t="n"/>
      <c r="E468" s="96" t="n"/>
      <c r="F468" s="96" t="n"/>
      <c r="G468" s="96" t="n"/>
      <c r="H468" s="96" t="n"/>
      <c r="I468" s="96" t="n"/>
      <c r="J468" s="96" t="n"/>
      <c r="L468" s="96" t="n"/>
      <c r="M468" s="96" t="n"/>
      <c r="N468" s="96" t="n"/>
      <c r="O468" s="96" t="n"/>
      <c r="Q468" s="96" t="n"/>
      <c r="R468" s="96" t="n"/>
      <c r="S468" s="96" t="n"/>
      <c r="T468" s="96" t="n"/>
      <c r="U468" s="96" t="n"/>
      <c r="V468" s="96" t="n"/>
      <c r="W468" s="96" t="n"/>
      <c r="X468" s="96" t="n"/>
      <c r="Y468" s="96" t="n"/>
      <c r="Z468" s="96" t="n"/>
      <c r="AA468" s="96" t="n"/>
      <c r="AB468" s="96" t="n"/>
      <c r="AC468" s="96" t="n"/>
      <c r="AD468" s="96" t="n"/>
      <c r="AE468" s="96" t="n"/>
      <c r="AF468" s="96" t="n"/>
      <c r="AG468" s="96" t="n"/>
      <c r="AH468" s="96" t="n"/>
      <c r="AI468" s="96" t="n"/>
      <c r="AJ468" s="96" t="n"/>
      <c r="AK468" s="96" t="n"/>
      <c r="AL468" s="96" t="n"/>
      <c r="AM468" s="96" t="n"/>
      <c r="AN468" s="96" t="n"/>
      <c r="AO468" s="96" t="n"/>
      <c r="AP468" s="96" t="n"/>
      <c r="AQ468" s="96" t="n"/>
      <c r="AR468" s="96" t="n"/>
      <c r="AS468" s="96" t="n"/>
      <c r="AT468" s="96" t="n"/>
      <c r="AU468" s="96" t="n"/>
      <c r="AV468" s="96" t="n"/>
      <c r="AW468" s="96" t="n"/>
      <c r="AX468" s="96" t="n"/>
      <c r="AY468" s="96" t="n"/>
      <c r="AZ468" s="96" t="n"/>
      <c r="BA468" s="96" t="n"/>
      <c r="BB468" s="96" t="n"/>
    </row>
    <row r="469" ht="22" customHeight="1" s="110">
      <c r="A469" s="97" t="n"/>
      <c r="B469" s="97" t="n"/>
      <c r="C469" s="97" t="n"/>
      <c r="D469" s="97" t="n"/>
      <c r="E469" s="97" t="n"/>
      <c r="F469" s="97" t="n"/>
      <c r="G469" s="97" t="n"/>
      <c r="H469" s="97" t="n"/>
      <c r="I469" s="97" t="n"/>
      <c r="J469" s="97" t="n"/>
      <c r="L469" s="97" t="n"/>
      <c r="M469" s="97" t="n"/>
      <c r="N469" s="97" t="n"/>
      <c r="O469" s="97" t="n"/>
      <c r="Q469" s="97" t="n"/>
      <c r="R469" s="97" t="n"/>
      <c r="S469" s="97" t="n"/>
      <c r="T469" s="97" t="n"/>
      <c r="U469" s="97" t="n"/>
      <c r="V469" s="97" t="n"/>
      <c r="W469" s="97" t="n"/>
      <c r="X469" s="97" t="n"/>
      <c r="Y469" s="97" t="n"/>
      <c r="Z469" s="97" t="n"/>
      <c r="AA469" s="97" t="n"/>
      <c r="AB469" s="97" t="n"/>
      <c r="AC469" s="97" t="n"/>
      <c r="AD469" s="97" t="n"/>
      <c r="AE469" s="97" t="n"/>
      <c r="AF469" s="97" t="n"/>
      <c r="AG469" s="97" t="n"/>
      <c r="AH469" s="97" t="n"/>
      <c r="AI469" s="97" t="n"/>
      <c r="AJ469" s="97" t="n"/>
      <c r="AK469" s="97" t="n"/>
      <c r="AL469" s="97" t="n"/>
      <c r="AM469" s="97" t="n"/>
      <c r="AN469" s="97" t="n"/>
      <c r="AO469" s="97" t="n"/>
      <c r="AP469" s="97" t="n"/>
      <c r="AQ469" s="97" t="n"/>
      <c r="AR469" s="97" t="n"/>
      <c r="AS469" s="97" t="n"/>
      <c r="AT469" s="97" t="n"/>
      <c r="AU469" s="97" t="n"/>
      <c r="AV469" s="97" t="n"/>
      <c r="AW469" s="97" t="n"/>
      <c r="AX469" s="97" t="n"/>
      <c r="AY469" s="97" t="n"/>
      <c r="AZ469" s="97" t="n"/>
      <c r="BA469" s="97" t="n"/>
      <c r="BB469" s="97" t="n"/>
    </row>
    <row r="470" ht="22" customHeight="1" s="110">
      <c r="A470" s="96" t="n"/>
      <c r="B470" s="96" t="n"/>
      <c r="C470" s="96" t="n"/>
      <c r="D470" s="96" t="n"/>
      <c r="E470" s="96" t="n"/>
      <c r="F470" s="96" t="n"/>
      <c r="G470" s="96" t="n"/>
      <c r="H470" s="96" t="n"/>
      <c r="I470" s="96" t="n"/>
      <c r="J470" s="96" t="n"/>
      <c r="L470" s="96" t="n"/>
      <c r="M470" s="96" t="n"/>
      <c r="N470" s="96" t="n"/>
      <c r="O470" s="96" t="n"/>
      <c r="Q470" s="96" t="n"/>
      <c r="R470" s="96" t="n"/>
      <c r="S470" s="96" t="n"/>
      <c r="T470" s="96" t="n"/>
      <c r="U470" s="96" t="n"/>
      <c r="V470" s="96" t="n"/>
      <c r="W470" s="96" t="n"/>
      <c r="X470" s="96" t="n"/>
      <c r="Y470" s="96" t="n"/>
      <c r="Z470" s="96" t="n"/>
      <c r="AA470" s="96" t="n"/>
      <c r="AB470" s="96" t="n"/>
      <c r="AC470" s="96" t="n"/>
      <c r="AD470" s="96" t="n"/>
      <c r="AE470" s="96" t="n"/>
      <c r="AF470" s="96" t="n"/>
      <c r="AG470" s="96" t="n"/>
      <c r="AH470" s="96" t="n"/>
      <c r="AI470" s="96" t="n"/>
      <c r="AJ470" s="96" t="n"/>
      <c r="AK470" s="96" t="n"/>
      <c r="AL470" s="96" t="n"/>
      <c r="AM470" s="96" t="n"/>
      <c r="AN470" s="96" t="n"/>
      <c r="AO470" s="96" t="n"/>
      <c r="AP470" s="96" t="n"/>
      <c r="AQ470" s="96" t="n"/>
      <c r="AR470" s="96" t="n"/>
      <c r="AS470" s="96" t="n"/>
      <c r="AT470" s="96" t="n"/>
      <c r="AU470" s="96" t="n"/>
      <c r="AV470" s="96" t="n"/>
      <c r="AW470" s="96" t="n"/>
      <c r="AX470" s="96" t="n"/>
      <c r="AY470" s="96" t="n"/>
      <c r="AZ470" s="96" t="n"/>
      <c r="BA470" s="96" t="n"/>
      <c r="BB470" s="96" t="n"/>
    </row>
    <row r="471" ht="22" customHeight="1" s="110">
      <c r="A471" s="97" t="n"/>
      <c r="B471" s="97" t="n"/>
      <c r="C471" s="97" t="n"/>
      <c r="D471" s="97" t="n"/>
      <c r="E471" s="97" t="n"/>
      <c r="F471" s="97" t="n"/>
      <c r="G471" s="97" t="n"/>
      <c r="H471" s="97" t="n"/>
      <c r="I471" s="97" t="n"/>
      <c r="J471" s="97" t="n"/>
      <c r="L471" s="97" t="n"/>
      <c r="M471" s="97" t="n"/>
      <c r="N471" s="97" t="n"/>
      <c r="O471" s="97" t="n"/>
      <c r="Q471" s="97" t="n"/>
      <c r="R471" s="97" t="n"/>
      <c r="S471" s="97" t="n"/>
      <c r="T471" s="97" t="n"/>
      <c r="U471" s="97" t="n"/>
      <c r="V471" s="97" t="n"/>
      <c r="W471" s="97" t="n"/>
      <c r="X471" s="97" t="n"/>
      <c r="Y471" s="97" t="n"/>
      <c r="Z471" s="97" t="n"/>
      <c r="AA471" s="97" t="n"/>
      <c r="AB471" s="97" t="n"/>
      <c r="AC471" s="97" t="n"/>
      <c r="AD471" s="97" t="n"/>
      <c r="AE471" s="97" t="n"/>
      <c r="AF471" s="97" t="n"/>
      <c r="AG471" s="97" t="n"/>
      <c r="AH471" s="97" t="n"/>
      <c r="AI471" s="97" t="n"/>
      <c r="AJ471" s="97" t="n"/>
      <c r="AK471" s="97" t="n"/>
      <c r="AL471" s="97" t="n"/>
      <c r="AM471" s="97" t="n"/>
      <c r="AN471" s="97" t="n"/>
      <c r="AO471" s="97" t="n"/>
      <c r="AP471" s="97" t="n"/>
      <c r="AQ471" s="97" t="n"/>
      <c r="AR471" s="97" t="n"/>
      <c r="AS471" s="97" t="n"/>
      <c r="AT471" s="97" t="n"/>
      <c r="AU471" s="97" t="n"/>
      <c r="AV471" s="97" t="n"/>
      <c r="AW471" s="97" t="n"/>
      <c r="AX471" s="97" t="n"/>
      <c r="AY471" s="97" t="n"/>
      <c r="AZ471" s="97" t="n"/>
      <c r="BA471" s="97" t="n"/>
      <c r="BB471" s="97" t="n"/>
    </row>
    <row r="472" ht="22" customHeight="1" s="110">
      <c r="A472" s="96" t="n"/>
      <c r="B472" s="96" t="n"/>
      <c r="C472" s="96" t="n"/>
      <c r="D472" s="96" t="n"/>
      <c r="E472" s="96" t="n"/>
      <c r="F472" s="96" t="n"/>
      <c r="G472" s="96" t="n"/>
      <c r="H472" s="96" t="n"/>
      <c r="I472" s="96" t="n"/>
      <c r="J472" s="96" t="n"/>
      <c r="L472" s="96" t="n"/>
      <c r="M472" s="96" t="n"/>
      <c r="N472" s="96" t="n"/>
      <c r="O472" s="96" t="n"/>
      <c r="Q472" s="96" t="n"/>
      <c r="R472" s="96" t="n"/>
      <c r="S472" s="96" t="n"/>
      <c r="T472" s="96" t="n"/>
      <c r="U472" s="96" t="n"/>
      <c r="V472" s="96" t="n"/>
      <c r="W472" s="96" t="n"/>
      <c r="X472" s="96" t="n"/>
      <c r="Y472" s="96" t="n"/>
      <c r="Z472" s="96" t="n"/>
      <c r="AA472" s="96" t="n"/>
      <c r="AB472" s="96" t="n"/>
      <c r="AC472" s="96" t="n"/>
      <c r="AD472" s="96" t="n"/>
      <c r="AE472" s="96" t="n"/>
      <c r="AF472" s="96" t="n"/>
      <c r="AG472" s="96" t="n"/>
      <c r="AH472" s="96" t="n"/>
      <c r="AI472" s="96" t="n"/>
      <c r="AJ472" s="96" t="n"/>
      <c r="AK472" s="96" t="n"/>
      <c r="AL472" s="96" t="n"/>
      <c r="AM472" s="96" t="n"/>
      <c r="AN472" s="96" t="n"/>
      <c r="AO472" s="96" t="n"/>
      <c r="AP472" s="96" t="n"/>
      <c r="AQ472" s="96" t="n"/>
      <c r="AR472" s="96" t="n"/>
      <c r="AS472" s="96" t="n"/>
      <c r="AT472" s="96" t="n"/>
      <c r="AU472" s="96" t="n"/>
      <c r="AV472" s="96" t="n"/>
      <c r="AW472" s="96" t="n"/>
      <c r="AX472" s="96" t="n"/>
      <c r="AY472" s="96" t="n"/>
      <c r="AZ472" s="96" t="n"/>
      <c r="BA472" s="96" t="n"/>
      <c r="BB472" s="96" t="n"/>
    </row>
    <row r="473" ht="22" customHeight="1" s="110">
      <c r="A473" s="97" t="n"/>
      <c r="B473" s="97" t="n"/>
      <c r="C473" s="97" t="n"/>
      <c r="D473" s="97" t="n"/>
      <c r="E473" s="97" t="n"/>
      <c r="F473" s="97" t="n"/>
      <c r="G473" s="97" t="n"/>
      <c r="H473" s="97" t="n"/>
      <c r="I473" s="97" t="n"/>
      <c r="J473" s="97" t="n"/>
      <c r="L473" s="97" t="n"/>
      <c r="M473" s="97" t="n"/>
      <c r="N473" s="97" t="n"/>
      <c r="O473" s="97" t="n"/>
      <c r="Q473" s="97" t="n"/>
      <c r="R473" s="97" t="n"/>
      <c r="S473" s="97" t="n"/>
      <c r="T473" s="97" t="n"/>
      <c r="U473" s="97" t="n"/>
      <c r="V473" s="97" t="n"/>
      <c r="W473" s="97" t="n"/>
      <c r="X473" s="97" t="n"/>
      <c r="Y473" s="97" t="n"/>
      <c r="Z473" s="97" t="n"/>
      <c r="AA473" s="97" t="n"/>
      <c r="AB473" s="97" t="n"/>
      <c r="AC473" s="97" t="n"/>
      <c r="AD473" s="97" t="n"/>
      <c r="AE473" s="97" t="n"/>
      <c r="AF473" s="97" t="n"/>
      <c r="AG473" s="97" t="n"/>
      <c r="AH473" s="97" t="n"/>
      <c r="AI473" s="97" t="n"/>
      <c r="AJ473" s="97" t="n"/>
      <c r="AK473" s="97" t="n"/>
      <c r="AL473" s="97" t="n"/>
      <c r="AM473" s="97" t="n"/>
      <c r="AN473" s="97" t="n"/>
      <c r="AO473" s="97" t="n"/>
      <c r="AP473" s="97" t="n"/>
      <c r="AQ473" s="97" t="n"/>
      <c r="AR473" s="97" t="n"/>
      <c r="AS473" s="97" t="n"/>
      <c r="AT473" s="97" t="n"/>
      <c r="AU473" s="97" t="n"/>
      <c r="AV473" s="97" t="n"/>
      <c r="AW473" s="97" t="n"/>
      <c r="AX473" s="97" t="n"/>
      <c r="AY473" s="97" t="n"/>
      <c r="AZ473" s="97" t="n"/>
      <c r="BA473" s="97" t="n"/>
      <c r="BB473" s="97" t="n"/>
    </row>
    <row r="474" ht="22" customHeight="1" s="110">
      <c r="A474" s="96" t="n"/>
      <c r="B474" s="96" t="n"/>
      <c r="C474" s="96" t="n"/>
      <c r="D474" s="96" t="n"/>
      <c r="E474" s="96" t="n"/>
      <c r="F474" s="96" t="n"/>
      <c r="G474" s="96" t="n"/>
      <c r="H474" s="96" t="n"/>
      <c r="I474" s="96" t="n"/>
      <c r="J474" s="96" t="n"/>
      <c r="L474" s="96" t="n"/>
      <c r="M474" s="96" t="n"/>
      <c r="N474" s="96" t="n"/>
      <c r="O474" s="96" t="n"/>
      <c r="Q474" s="96" t="n"/>
      <c r="R474" s="96" t="n"/>
      <c r="S474" s="96" t="n"/>
      <c r="T474" s="96" t="n"/>
      <c r="U474" s="96" t="n"/>
      <c r="V474" s="96" t="n"/>
      <c r="W474" s="96" t="n"/>
      <c r="X474" s="96" t="n"/>
      <c r="Y474" s="96" t="n"/>
      <c r="Z474" s="96" t="n"/>
      <c r="AA474" s="96" t="n"/>
      <c r="AB474" s="96" t="n"/>
      <c r="AC474" s="96" t="n"/>
      <c r="AD474" s="96" t="n"/>
      <c r="AE474" s="96" t="n"/>
      <c r="AF474" s="96" t="n"/>
      <c r="AG474" s="96" t="n"/>
      <c r="AH474" s="96" t="n"/>
      <c r="AI474" s="96" t="n"/>
      <c r="AJ474" s="96" t="n"/>
      <c r="AK474" s="96" t="n"/>
      <c r="AL474" s="96" t="n"/>
      <c r="AM474" s="96" t="n"/>
      <c r="AN474" s="96" t="n"/>
      <c r="AO474" s="96" t="n"/>
      <c r="AP474" s="96" t="n"/>
      <c r="AQ474" s="96" t="n"/>
      <c r="AR474" s="96" t="n"/>
      <c r="AS474" s="96" t="n"/>
      <c r="AT474" s="96" t="n"/>
      <c r="AU474" s="96" t="n"/>
      <c r="AV474" s="96" t="n"/>
      <c r="AW474" s="96" t="n"/>
      <c r="AX474" s="96" t="n"/>
      <c r="AY474" s="96" t="n"/>
      <c r="AZ474" s="96" t="n"/>
      <c r="BA474" s="96" t="n"/>
      <c r="BB474" s="96" t="n"/>
    </row>
    <row r="475" ht="22" customHeight="1" s="110">
      <c r="A475" s="97" t="n"/>
      <c r="B475" s="97" t="n"/>
      <c r="C475" s="97" t="n"/>
      <c r="D475" s="97" t="n"/>
      <c r="E475" s="97" t="n"/>
      <c r="F475" s="97" t="n"/>
      <c r="G475" s="97" t="n"/>
      <c r="H475" s="97" t="n"/>
      <c r="I475" s="97" t="n"/>
      <c r="J475" s="97" t="n"/>
      <c r="L475" s="97" t="n"/>
      <c r="M475" s="97" t="n"/>
      <c r="N475" s="97" t="n"/>
      <c r="O475" s="97" t="n"/>
      <c r="Q475" s="97" t="n"/>
      <c r="R475" s="97" t="n"/>
      <c r="S475" s="97" t="n"/>
      <c r="T475" s="97" t="n"/>
      <c r="U475" s="97" t="n"/>
      <c r="V475" s="97" t="n"/>
      <c r="W475" s="97" t="n"/>
      <c r="X475" s="97" t="n"/>
      <c r="Y475" s="97" t="n"/>
      <c r="Z475" s="97" t="n"/>
      <c r="AA475" s="97" t="n"/>
      <c r="AB475" s="97" t="n"/>
      <c r="AC475" s="97" t="n"/>
      <c r="AD475" s="97" t="n"/>
      <c r="AE475" s="97" t="n"/>
      <c r="AF475" s="97" t="n"/>
      <c r="AG475" s="97" t="n"/>
      <c r="AH475" s="97" t="n"/>
      <c r="AI475" s="97" t="n"/>
      <c r="AJ475" s="97" t="n"/>
      <c r="AK475" s="97" t="n"/>
      <c r="AL475" s="97" t="n"/>
      <c r="AM475" s="97" t="n"/>
      <c r="AN475" s="97" t="n"/>
      <c r="AO475" s="97" t="n"/>
      <c r="AP475" s="97" t="n"/>
      <c r="AQ475" s="97" t="n"/>
      <c r="AR475" s="97" t="n"/>
      <c r="AS475" s="97" t="n"/>
      <c r="AT475" s="97" t="n"/>
      <c r="AU475" s="97" t="n"/>
      <c r="AV475" s="97" t="n"/>
      <c r="AW475" s="97" t="n"/>
      <c r="AX475" s="97" t="n"/>
      <c r="AY475" s="97" t="n"/>
      <c r="AZ475" s="97" t="n"/>
      <c r="BA475" s="97" t="n"/>
      <c r="BB475" s="97" t="n"/>
    </row>
    <row r="476" ht="22" customHeight="1" s="110">
      <c r="A476" s="96" t="n"/>
      <c r="B476" s="96" t="n"/>
      <c r="C476" s="96" t="n"/>
      <c r="D476" s="96" t="n"/>
      <c r="E476" s="96" t="n"/>
      <c r="F476" s="96" t="n"/>
      <c r="G476" s="96" t="n"/>
      <c r="H476" s="96" t="n"/>
      <c r="I476" s="96" t="n"/>
      <c r="J476" s="96" t="n"/>
      <c r="L476" s="96" t="n"/>
      <c r="M476" s="96" t="n"/>
      <c r="N476" s="96" t="n"/>
      <c r="O476" s="96" t="n"/>
      <c r="Q476" s="96" t="n"/>
      <c r="R476" s="96" t="n"/>
      <c r="S476" s="96" t="n"/>
      <c r="T476" s="96" t="n"/>
      <c r="U476" s="96" t="n"/>
      <c r="V476" s="96" t="n"/>
      <c r="W476" s="96" t="n"/>
      <c r="X476" s="96" t="n"/>
      <c r="Y476" s="96" t="n"/>
      <c r="Z476" s="96" t="n"/>
      <c r="AA476" s="96" t="n"/>
      <c r="AB476" s="96" t="n"/>
      <c r="AC476" s="96" t="n"/>
      <c r="AD476" s="96" t="n"/>
      <c r="AE476" s="96" t="n"/>
      <c r="AF476" s="96" t="n"/>
      <c r="AG476" s="96" t="n"/>
      <c r="AH476" s="96" t="n"/>
      <c r="AI476" s="96" t="n"/>
      <c r="AJ476" s="96" t="n"/>
      <c r="AK476" s="96" t="n"/>
      <c r="AL476" s="96" t="n"/>
      <c r="AM476" s="96" t="n"/>
      <c r="AN476" s="96" t="n"/>
      <c r="AO476" s="96" t="n"/>
      <c r="AP476" s="96" t="n"/>
      <c r="AQ476" s="96" t="n"/>
      <c r="AR476" s="96" t="n"/>
      <c r="AS476" s="96" t="n"/>
      <c r="AT476" s="96" t="n"/>
      <c r="AU476" s="96" t="n"/>
      <c r="AV476" s="96" t="n"/>
      <c r="AW476" s="96" t="n"/>
      <c r="AX476" s="96" t="n"/>
      <c r="AY476" s="96" t="n"/>
      <c r="AZ476" s="96" t="n"/>
      <c r="BA476" s="96" t="n"/>
      <c r="BB476" s="96" t="n"/>
    </row>
    <row r="477" ht="22" customHeight="1" s="110">
      <c r="A477" s="97" t="n"/>
      <c r="B477" s="97" t="n"/>
      <c r="C477" s="97" t="n"/>
      <c r="D477" s="97" t="n"/>
      <c r="E477" s="97" t="n"/>
      <c r="F477" s="97" t="n"/>
      <c r="G477" s="97" t="n"/>
      <c r="H477" s="97" t="n"/>
      <c r="I477" s="97" t="n"/>
      <c r="J477" s="97" t="n"/>
      <c r="L477" s="97" t="n"/>
      <c r="M477" s="97" t="n"/>
      <c r="N477" s="97" t="n"/>
      <c r="O477" s="97" t="n"/>
      <c r="Q477" s="97" t="n"/>
      <c r="R477" s="97" t="n"/>
      <c r="S477" s="97" t="n"/>
      <c r="T477" s="97" t="n"/>
      <c r="U477" s="97" t="n"/>
      <c r="V477" s="97" t="n"/>
      <c r="W477" s="97" t="n"/>
      <c r="X477" s="97" t="n"/>
      <c r="Y477" s="97" t="n"/>
      <c r="Z477" s="97" t="n"/>
      <c r="AA477" s="97" t="n"/>
      <c r="AB477" s="97" t="n"/>
      <c r="AC477" s="97" t="n"/>
      <c r="AD477" s="97" t="n"/>
      <c r="AE477" s="97" t="n"/>
      <c r="AF477" s="97" t="n"/>
      <c r="AG477" s="97" t="n"/>
      <c r="AH477" s="97" t="n"/>
      <c r="AI477" s="97" t="n"/>
      <c r="AJ477" s="97" t="n"/>
      <c r="AK477" s="97" t="n"/>
      <c r="AL477" s="97" t="n"/>
      <c r="AM477" s="97" t="n"/>
      <c r="AN477" s="97" t="n"/>
      <c r="AO477" s="97" t="n"/>
      <c r="AP477" s="97" t="n"/>
      <c r="AQ477" s="97" t="n"/>
      <c r="AR477" s="97" t="n"/>
      <c r="AS477" s="97" t="n"/>
      <c r="AT477" s="97" t="n"/>
      <c r="AU477" s="97" t="n"/>
      <c r="AV477" s="97" t="n"/>
      <c r="AW477" s="97" t="n"/>
      <c r="AX477" s="97" t="n"/>
      <c r="AY477" s="97" t="n"/>
      <c r="AZ477" s="97" t="n"/>
      <c r="BA477" s="97" t="n"/>
      <c r="BB477" s="97" t="n"/>
    </row>
    <row r="478" ht="22" customHeight="1" s="110">
      <c r="A478" s="96" t="n"/>
      <c r="B478" s="96" t="n"/>
      <c r="C478" s="96" t="n"/>
      <c r="D478" s="96" t="n"/>
      <c r="E478" s="96" t="n"/>
      <c r="F478" s="96" t="n"/>
      <c r="G478" s="96" t="n"/>
      <c r="H478" s="96" t="n"/>
      <c r="I478" s="96" t="n"/>
      <c r="J478" s="96" t="n"/>
      <c r="L478" s="96" t="n"/>
      <c r="M478" s="96" t="n"/>
      <c r="N478" s="96" t="n"/>
      <c r="O478" s="96" t="n"/>
      <c r="Q478" s="96" t="n"/>
      <c r="R478" s="96" t="n"/>
      <c r="S478" s="96" t="n"/>
      <c r="T478" s="96" t="n"/>
      <c r="U478" s="96" t="n"/>
      <c r="V478" s="96" t="n"/>
      <c r="W478" s="96" t="n"/>
      <c r="X478" s="96" t="n"/>
      <c r="Y478" s="96" t="n"/>
      <c r="Z478" s="96" t="n"/>
      <c r="AA478" s="96" t="n"/>
      <c r="AB478" s="96" t="n"/>
      <c r="AC478" s="96" t="n"/>
      <c r="AD478" s="96" t="n"/>
      <c r="AE478" s="96" t="n"/>
      <c r="AF478" s="96" t="n"/>
      <c r="AG478" s="96" t="n"/>
      <c r="AH478" s="96" t="n"/>
      <c r="AI478" s="96" t="n"/>
      <c r="AJ478" s="96" t="n"/>
      <c r="AK478" s="96" t="n"/>
      <c r="AL478" s="96" t="n"/>
      <c r="AM478" s="96" t="n"/>
      <c r="AN478" s="96" t="n"/>
      <c r="AO478" s="96" t="n"/>
      <c r="AP478" s="96" t="n"/>
      <c r="AQ478" s="96" t="n"/>
      <c r="AR478" s="96" t="n"/>
      <c r="AS478" s="96" t="n"/>
      <c r="AT478" s="96" t="n"/>
      <c r="AU478" s="96" t="n"/>
      <c r="AV478" s="96" t="n"/>
      <c r="AW478" s="96" t="n"/>
      <c r="AX478" s="96" t="n"/>
      <c r="AY478" s="96" t="n"/>
      <c r="AZ478" s="96" t="n"/>
      <c r="BA478" s="96" t="n"/>
      <c r="BB478" s="96" t="n"/>
    </row>
    <row r="479" ht="22" customHeight="1" s="110">
      <c r="A479" s="97" t="n"/>
      <c r="B479" s="97" t="n"/>
      <c r="C479" s="97" t="n"/>
      <c r="D479" s="97" t="n"/>
      <c r="E479" s="97" t="n"/>
      <c r="F479" s="97" t="n"/>
      <c r="G479" s="97" t="n"/>
      <c r="H479" s="97" t="n"/>
      <c r="I479" s="97" t="n"/>
      <c r="J479" s="97" t="n"/>
      <c r="L479" s="97" t="n"/>
      <c r="M479" s="97" t="n"/>
      <c r="N479" s="97" t="n"/>
      <c r="O479" s="97" t="n"/>
      <c r="Q479" s="97" t="n"/>
      <c r="R479" s="97" t="n"/>
      <c r="S479" s="97" t="n"/>
      <c r="T479" s="97" t="n"/>
      <c r="U479" s="97" t="n"/>
      <c r="V479" s="97" t="n"/>
      <c r="W479" s="97" t="n"/>
      <c r="X479" s="97" t="n"/>
      <c r="Y479" s="97" t="n"/>
      <c r="Z479" s="97" t="n"/>
      <c r="AA479" s="97" t="n"/>
      <c r="AB479" s="97" t="n"/>
      <c r="AC479" s="97" t="n"/>
      <c r="AD479" s="97" t="n"/>
      <c r="AE479" s="97" t="n"/>
      <c r="AF479" s="97" t="n"/>
      <c r="AG479" s="97" t="n"/>
      <c r="AH479" s="97" t="n"/>
      <c r="AI479" s="97" t="n"/>
      <c r="AJ479" s="97" t="n"/>
      <c r="AK479" s="97" t="n"/>
      <c r="AL479" s="97" t="n"/>
      <c r="AM479" s="97" t="n"/>
      <c r="AN479" s="97" t="n"/>
      <c r="AO479" s="97" t="n"/>
      <c r="AP479" s="97" t="n"/>
      <c r="AQ479" s="97" t="n"/>
      <c r="AR479" s="97" t="n"/>
      <c r="AS479" s="97" t="n"/>
      <c r="AT479" s="97" t="n"/>
      <c r="AU479" s="97" t="n"/>
      <c r="AV479" s="97" t="n"/>
      <c r="AW479" s="97" t="n"/>
      <c r="AX479" s="97" t="n"/>
      <c r="AY479" s="97" t="n"/>
      <c r="AZ479" s="97" t="n"/>
      <c r="BA479" s="97" t="n"/>
      <c r="BB479" s="97" t="n"/>
    </row>
    <row r="480" ht="22" customHeight="1" s="110">
      <c r="A480" s="96" t="n"/>
      <c r="B480" s="96" t="n"/>
      <c r="C480" s="96" t="n"/>
      <c r="D480" s="96" t="n"/>
      <c r="E480" s="96" t="n"/>
      <c r="F480" s="96" t="n"/>
      <c r="G480" s="96" t="n"/>
      <c r="H480" s="96" t="n"/>
      <c r="I480" s="96" t="n"/>
      <c r="J480" s="96" t="n"/>
      <c r="L480" s="96" t="n"/>
      <c r="M480" s="96" t="n"/>
      <c r="N480" s="96" t="n"/>
      <c r="O480" s="96" t="n"/>
      <c r="Q480" s="96" t="n"/>
      <c r="R480" s="96" t="n"/>
      <c r="S480" s="96" t="n"/>
      <c r="T480" s="96" t="n"/>
      <c r="U480" s="96" t="n"/>
      <c r="V480" s="96" t="n"/>
      <c r="W480" s="96" t="n"/>
      <c r="X480" s="96" t="n"/>
      <c r="Y480" s="96" t="n"/>
      <c r="Z480" s="96" t="n"/>
      <c r="AA480" s="96" t="n"/>
      <c r="AB480" s="96" t="n"/>
      <c r="AC480" s="96" t="n"/>
      <c r="AD480" s="96" t="n"/>
      <c r="AE480" s="96" t="n"/>
      <c r="AF480" s="96" t="n"/>
      <c r="AG480" s="96" t="n"/>
      <c r="AH480" s="96" t="n"/>
      <c r="AI480" s="96" t="n"/>
      <c r="AJ480" s="96" t="n"/>
      <c r="AK480" s="96" t="n"/>
      <c r="AL480" s="96" t="n"/>
      <c r="AM480" s="96" t="n"/>
      <c r="AN480" s="96" t="n"/>
      <c r="AO480" s="96" t="n"/>
      <c r="AP480" s="96" t="n"/>
      <c r="AQ480" s="96" t="n"/>
      <c r="AR480" s="96" t="n"/>
      <c r="AS480" s="96" t="n"/>
      <c r="AT480" s="96" t="n"/>
      <c r="AU480" s="96" t="n"/>
      <c r="AV480" s="96" t="n"/>
      <c r="AW480" s="96" t="n"/>
      <c r="AX480" s="96" t="n"/>
      <c r="AY480" s="96" t="n"/>
      <c r="AZ480" s="96" t="n"/>
      <c r="BA480" s="96" t="n"/>
      <c r="BB480" s="96" t="n"/>
    </row>
    <row r="481" ht="22" customHeight="1" s="110">
      <c r="A481" s="97" t="n"/>
      <c r="B481" s="97" t="n"/>
      <c r="C481" s="97" t="n"/>
      <c r="D481" s="97" t="n"/>
      <c r="E481" s="97" t="n"/>
      <c r="F481" s="97" t="n"/>
      <c r="G481" s="97" t="n"/>
      <c r="H481" s="97" t="n"/>
      <c r="I481" s="97" t="n"/>
      <c r="J481" s="97" t="n"/>
      <c r="L481" s="97" t="n"/>
      <c r="M481" s="97" t="n"/>
      <c r="N481" s="97" t="n"/>
      <c r="O481" s="97" t="n"/>
      <c r="Q481" s="97" t="n"/>
      <c r="R481" s="97" t="n"/>
      <c r="S481" s="97" t="n"/>
      <c r="T481" s="97" t="n"/>
      <c r="U481" s="97" t="n"/>
      <c r="V481" s="97" t="n"/>
      <c r="W481" s="97" t="n"/>
      <c r="X481" s="97" t="n"/>
      <c r="Y481" s="97" t="n"/>
      <c r="Z481" s="97" t="n"/>
      <c r="AA481" s="97" t="n"/>
      <c r="AB481" s="97" t="n"/>
      <c r="AC481" s="97" t="n"/>
      <c r="AD481" s="97" t="n"/>
      <c r="AE481" s="97" t="n"/>
      <c r="AF481" s="97" t="n"/>
      <c r="AG481" s="97" t="n"/>
      <c r="AH481" s="97" t="n"/>
      <c r="AI481" s="97" t="n"/>
      <c r="AJ481" s="97" t="n"/>
      <c r="AK481" s="97" t="n"/>
      <c r="AL481" s="97" t="n"/>
      <c r="AM481" s="97" t="n"/>
      <c r="AN481" s="97" t="n"/>
      <c r="AO481" s="97" t="n"/>
      <c r="AP481" s="97" t="n"/>
      <c r="AQ481" s="97" t="n"/>
      <c r="AR481" s="97" t="n"/>
      <c r="AS481" s="97" t="n"/>
      <c r="AT481" s="97" t="n"/>
      <c r="AU481" s="97" t="n"/>
      <c r="AV481" s="97" t="n"/>
      <c r="AW481" s="97" t="n"/>
      <c r="AX481" s="97" t="n"/>
      <c r="AY481" s="97" t="n"/>
      <c r="AZ481" s="97" t="n"/>
      <c r="BA481" s="97" t="n"/>
      <c r="BB481" s="97" t="n"/>
    </row>
    <row r="482" ht="22" customHeight="1" s="110">
      <c r="A482" s="96" t="n"/>
      <c r="B482" s="96" t="n"/>
      <c r="C482" s="96" t="n"/>
      <c r="D482" s="96" t="n"/>
      <c r="E482" s="96" t="n"/>
      <c r="F482" s="96" t="n"/>
      <c r="G482" s="96" t="n"/>
      <c r="H482" s="96" t="n"/>
      <c r="I482" s="96" t="n"/>
      <c r="J482" s="96" t="n"/>
      <c r="L482" s="96" t="n"/>
      <c r="M482" s="96" t="n"/>
      <c r="N482" s="96" t="n"/>
      <c r="O482" s="96" t="n"/>
      <c r="Q482" s="96" t="n"/>
      <c r="R482" s="96" t="n"/>
      <c r="S482" s="96" t="n"/>
      <c r="T482" s="96" t="n"/>
      <c r="U482" s="96" t="n"/>
      <c r="V482" s="96" t="n"/>
      <c r="W482" s="96" t="n"/>
      <c r="X482" s="96" t="n"/>
      <c r="Y482" s="96" t="n"/>
      <c r="Z482" s="96" t="n"/>
      <c r="AA482" s="96" t="n"/>
      <c r="AB482" s="96" t="n"/>
      <c r="AC482" s="96" t="n"/>
      <c r="AD482" s="96" t="n"/>
      <c r="AE482" s="96" t="n"/>
      <c r="AF482" s="96" t="n"/>
      <c r="AG482" s="96" t="n"/>
      <c r="AH482" s="96" t="n"/>
      <c r="AI482" s="96" t="n"/>
      <c r="AJ482" s="96" t="n"/>
      <c r="AK482" s="96" t="n"/>
      <c r="AL482" s="96" t="n"/>
      <c r="AM482" s="96" t="n"/>
      <c r="AN482" s="96" t="n"/>
      <c r="AO482" s="96" t="n"/>
      <c r="AP482" s="96" t="n"/>
      <c r="AQ482" s="96" t="n"/>
      <c r="AR482" s="96" t="n"/>
      <c r="AS482" s="96" t="n"/>
      <c r="AT482" s="96" t="n"/>
      <c r="AU482" s="96" t="n"/>
      <c r="AV482" s="96" t="n"/>
      <c r="AW482" s="96" t="n"/>
      <c r="AX482" s="96" t="n"/>
      <c r="AY482" s="96" t="n"/>
      <c r="AZ482" s="96" t="n"/>
      <c r="BA482" s="96" t="n"/>
      <c r="BB482" s="96" t="n"/>
    </row>
    <row r="483" ht="22" customHeight="1" s="110">
      <c r="A483" s="97" t="n"/>
      <c r="B483" s="97" t="n"/>
      <c r="C483" s="97" t="n"/>
      <c r="D483" s="97" t="n"/>
      <c r="E483" s="97" t="n"/>
      <c r="F483" s="97" t="n"/>
      <c r="G483" s="97" t="n"/>
      <c r="H483" s="97" t="n"/>
      <c r="I483" s="97" t="n"/>
      <c r="J483" s="97" t="n"/>
      <c r="L483" s="97" t="n"/>
      <c r="M483" s="97" t="n"/>
      <c r="N483" s="97" t="n"/>
      <c r="O483" s="97" t="n"/>
      <c r="Q483" s="97" t="n"/>
      <c r="R483" s="97" t="n"/>
      <c r="S483" s="97" t="n"/>
      <c r="T483" s="97" t="n"/>
      <c r="U483" s="97" t="n"/>
      <c r="V483" s="97" t="n"/>
      <c r="W483" s="97" t="n"/>
      <c r="X483" s="97" t="n"/>
      <c r="Y483" s="97" t="n"/>
      <c r="Z483" s="97" t="n"/>
      <c r="AA483" s="97" t="n"/>
      <c r="AB483" s="97" t="n"/>
      <c r="AC483" s="97" t="n"/>
      <c r="AD483" s="97" t="n"/>
      <c r="AE483" s="97" t="n"/>
      <c r="AF483" s="97" t="n"/>
      <c r="AG483" s="97" t="n"/>
      <c r="AH483" s="97" t="n"/>
      <c r="AI483" s="97" t="n"/>
      <c r="AJ483" s="97" t="n"/>
      <c r="AK483" s="97" t="n"/>
      <c r="AL483" s="97" t="n"/>
      <c r="AM483" s="97" t="n"/>
      <c r="AN483" s="97" t="n"/>
      <c r="AO483" s="97" t="n"/>
      <c r="AP483" s="97" t="n"/>
      <c r="AQ483" s="97" t="n"/>
      <c r="AR483" s="97" t="n"/>
      <c r="AS483" s="97" t="n"/>
      <c r="AT483" s="97" t="n"/>
      <c r="AU483" s="97" t="n"/>
      <c r="AV483" s="97" t="n"/>
      <c r="AW483" s="97" t="n"/>
      <c r="AX483" s="97" t="n"/>
      <c r="AY483" s="97" t="n"/>
      <c r="AZ483" s="97" t="n"/>
      <c r="BA483" s="97" t="n"/>
      <c r="BB483" s="97" t="n"/>
    </row>
    <row r="484" ht="22" customHeight="1" s="110">
      <c r="A484" s="96" t="n"/>
      <c r="B484" s="96" t="n"/>
      <c r="C484" s="96" t="n"/>
      <c r="D484" s="96" t="n"/>
      <c r="E484" s="96" t="n"/>
      <c r="F484" s="96" t="n"/>
      <c r="G484" s="96" t="n"/>
      <c r="H484" s="96" t="n"/>
      <c r="I484" s="96" t="n"/>
      <c r="J484" s="96" t="n"/>
      <c r="L484" s="96" t="n"/>
      <c r="M484" s="96" t="n"/>
      <c r="N484" s="96" t="n"/>
      <c r="O484" s="96" t="n"/>
      <c r="Q484" s="96" t="n"/>
      <c r="R484" s="96" t="n"/>
      <c r="S484" s="96" t="n"/>
      <c r="T484" s="96" t="n"/>
      <c r="U484" s="96" t="n"/>
      <c r="V484" s="96" t="n"/>
      <c r="W484" s="96" t="n"/>
      <c r="X484" s="96" t="n"/>
      <c r="Y484" s="96" t="n"/>
      <c r="Z484" s="96" t="n"/>
      <c r="AA484" s="96" t="n"/>
      <c r="AB484" s="96" t="n"/>
      <c r="AC484" s="96" t="n"/>
      <c r="AD484" s="96" t="n"/>
      <c r="AE484" s="96" t="n"/>
      <c r="AF484" s="96" t="n"/>
      <c r="AG484" s="96" t="n"/>
      <c r="AH484" s="96" t="n"/>
      <c r="AI484" s="96" t="n"/>
      <c r="AJ484" s="96" t="n"/>
      <c r="AK484" s="96" t="n"/>
      <c r="AL484" s="96" t="n"/>
      <c r="AM484" s="96" t="n"/>
      <c r="AN484" s="96" t="n"/>
      <c r="AO484" s="96" t="n"/>
      <c r="AP484" s="96" t="n"/>
      <c r="AQ484" s="96" t="n"/>
      <c r="AR484" s="96" t="n"/>
      <c r="AS484" s="96" t="n"/>
      <c r="AT484" s="96" t="n"/>
      <c r="AU484" s="96" t="n"/>
      <c r="AV484" s="96" t="n"/>
      <c r="AW484" s="96" t="n"/>
      <c r="AX484" s="96" t="n"/>
      <c r="AY484" s="96" t="n"/>
      <c r="AZ484" s="96" t="n"/>
      <c r="BA484" s="96" t="n"/>
      <c r="BB484" s="96" t="n"/>
    </row>
    <row r="485" ht="22" customHeight="1" s="110">
      <c r="A485" s="97" t="n"/>
      <c r="B485" s="97" t="n"/>
      <c r="C485" s="97" t="n"/>
      <c r="D485" s="97" t="n"/>
      <c r="E485" s="97" t="n"/>
      <c r="F485" s="97" t="n"/>
      <c r="G485" s="97" t="n"/>
      <c r="H485" s="97" t="n"/>
      <c r="I485" s="97" t="n"/>
      <c r="J485" s="97" t="n"/>
      <c r="L485" s="97" t="n"/>
      <c r="M485" s="97" t="n"/>
      <c r="N485" s="97" t="n"/>
      <c r="O485" s="97" t="n"/>
      <c r="Q485" s="97" t="n"/>
      <c r="R485" s="97" t="n"/>
      <c r="S485" s="97" t="n"/>
      <c r="T485" s="97" t="n"/>
      <c r="U485" s="97" t="n"/>
      <c r="V485" s="97" t="n"/>
      <c r="W485" s="97" t="n"/>
      <c r="X485" s="97" t="n"/>
      <c r="Y485" s="97" t="n"/>
      <c r="Z485" s="97" t="n"/>
      <c r="AA485" s="97" t="n"/>
      <c r="AB485" s="97" t="n"/>
      <c r="AC485" s="97" t="n"/>
      <c r="AD485" s="97" t="n"/>
      <c r="AE485" s="97" t="n"/>
      <c r="AF485" s="97" t="n"/>
      <c r="AG485" s="97" t="n"/>
      <c r="AH485" s="97" t="n"/>
      <c r="AI485" s="97" t="n"/>
      <c r="AJ485" s="97" t="n"/>
      <c r="AK485" s="97" t="n"/>
      <c r="AL485" s="97" t="n"/>
      <c r="AM485" s="97" t="n"/>
      <c r="AN485" s="97" t="n"/>
      <c r="AO485" s="97" t="n"/>
      <c r="AP485" s="97" t="n"/>
      <c r="AQ485" s="97" t="n"/>
      <c r="AR485" s="97" t="n"/>
      <c r="AS485" s="97" t="n"/>
      <c r="AT485" s="97" t="n"/>
      <c r="AU485" s="97" t="n"/>
      <c r="AV485" s="97" t="n"/>
      <c r="AW485" s="97" t="n"/>
      <c r="AX485" s="97" t="n"/>
      <c r="AY485" s="97" t="n"/>
      <c r="AZ485" s="97" t="n"/>
      <c r="BA485" s="97" t="n"/>
      <c r="BB485" s="97" t="n"/>
    </row>
    <row r="486" ht="22" customHeight="1" s="110">
      <c r="A486" s="96" t="n"/>
      <c r="B486" s="96" t="n"/>
      <c r="C486" s="96" t="n"/>
      <c r="D486" s="96" t="n"/>
      <c r="E486" s="96" t="n"/>
      <c r="F486" s="96" t="n"/>
      <c r="G486" s="96" t="n"/>
      <c r="H486" s="96" t="n"/>
      <c r="I486" s="96" t="n"/>
      <c r="J486" s="96" t="n"/>
      <c r="L486" s="96" t="n"/>
      <c r="M486" s="96" t="n"/>
      <c r="N486" s="96" t="n"/>
      <c r="O486" s="96" t="n"/>
      <c r="Q486" s="96" t="n"/>
      <c r="R486" s="96" t="n"/>
      <c r="S486" s="96" t="n"/>
      <c r="T486" s="96" t="n"/>
      <c r="U486" s="96" t="n"/>
      <c r="V486" s="96" t="n"/>
      <c r="W486" s="96" t="n"/>
      <c r="X486" s="96" t="n"/>
      <c r="Y486" s="96" t="n"/>
      <c r="Z486" s="96" t="n"/>
      <c r="AA486" s="96" t="n"/>
      <c r="AB486" s="96" t="n"/>
      <c r="AC486" s="96" t="n"/>
      <c r="AD486" s="96" t="n"/>
      <c r="AE486" s="96" t="n"/>
      <c r="AF486" s="96" t="n"/>
      <c r="AG486" s="96" t="n"/>
      <c r="AH486" s="96" t="n"/>
      <c r="AI486" s="96" t="n"/>
      <c r="AJ486" s="96" t="n"/>
      <c r="AK486" s="96" t="n"/>
      <c r="AL486" s="96" t="n"/>
      <c r="AM486" s="96" t="n"/>
      <c r="AN486" s="96" t="n"/>
      <c r="AO486" s="96" t="n"/>
      <c r="AP486" s="96" t="n"/>
      <c r="AQ486" s="96" t="n"/>
      <c r="AR486" s="96" t="n"/>
      <c r="AS486" s="96" t="n"/>
      <c r="AT486" s="96" t="n"/>
      <c r="AU486" s="96" t="n"/>
      <c r="AV486" s="96" t="n"/>
      <c r="AW486" s="96" t="n"/>
      <c r="AX486" s="96" t="n"/>
      <c r="AY486" s="96" t="n"/>
      <c r="AZ486" s="96" t="n"/>
      <c r="BA486" s="96" t="n"/>
      <c r="BB486" s="96" t="n"/>
    </row>
    <row r="487" ht="22" customHeight="1" s="110">
      <c r="A487" s="97" t="n"/>
      <c r="B487" s="97" t="n"/>
      <c r="C487" s="97" t="n"/>
      <c r="D487" s="97" t="n"/>
      <c r="E487" s="97" t="n"/>
      <c r="F487" s="97" t="n"/>
      <c r="G487" s="97" t="n"/>
      <c r="H487" s="97" t="n"/>
      <c r="I487" s="97" t="n"/>
      <c r="J487" s="97" t="n"/>
      <c r="L487" s="97" t="n"/>
      <c r="M487" s="97" t="n"/>
      <c r="N487" s="97" t="n"/>
      <c r="O487" s="97" t="n"/>
      <c r="Q487" s="97" t="n"/>
      <c r="R487" s="97" t="n"/>
      <c r="S487" s="97" t="n"/>
      <c r="T487" s="97" t="n"/>
      <c r="U487" s="97" t="n"/>
      <c r="V487" s="97" t="n"/>
      <c r="W487" s="97" t="n"/>
      <c r="X487" s="97" t="n"/>
      <c r="Y487" s="97" t="n"/>
      <c r="Z487" s="97" t="n"/>
      <c r="AA487" s="97" t="n"/>
      <c r="AB487" s="97" t="n"/>
      <c r="AC487" s="97" t="n"/>
      <c r="AD487" s="97" t="n"/>
      <c r="AE487" s="97" t="n"/>
      <c r="AF487" s="97" t="n"/>
      <c r="AG487" s="97" t="n"/>
      <c r="AH487" s="97" t="n"/>
      <c r="AI487" s="97" t="n"/>
      <c r="AJ487" s="97" t="n"/>
      <c r="AK487" s="97" t="n"/>
      <c r="AL487" s="97" t="n"/>
      <c r="AM487" s="97" t="n"/>
      <c r="AN487" s="97" t="n"/>
      <c r="AO487" s="97" t="n"/>
      <c r="AP487" s="97" t="n"/>
      <c r="AQ487" s="97" t="n"/>
      <c r="AR487" s="97" t="n"/>
      <c r="AS487" s="97" t="n"/>
      <c r="AT487" s="97" t="n"/>
      <c r="AU487" s="97" t="n"/>
      <c r="AV487" s="97" t="n"/>
      <c r="AW487" s="97" t="n"/>
      <c r="AX487" s="97" t="n"/>
      <c r="AY487" s="97" t="n"/>
      <c r="AZ487" s="97" t="n"/>
      <c r="BA487" s="97" t="n"/>
      <c r="BB487" s="97" t="n"/>
    </row>
    <row r="488" ht="22" customHeight="1" s="110">
      <c r="A488" s="96" t="n"/>
      <c r="B488" s="96" t="n"/>
      <c r="C488" s="96" t="n"/>
      <c r="D488" s="96" t="n"/>
      <c r="E488" s="96" t="n"/>
      <c r="F488" s="96" t="n"/>
      <c r="G488" s="96" t="n"/>
      <c r="H488" s="96" t="n"/>
      <c r="I488" s="96" t="n"/>
      <c r="J488" s="96" t="n"/>
      <c r="L488" s="96" t="n"/>
      <c r="M488" s="96" t="n"/>
      <c r="N488" s="96" t="n"/>
      <c r="O488" s="96" t="n"/>
      <c r="Q488" s="96" t="n"/>
      <c r="R488" s="96" t="n"/>
      <c r="S488" s="96" t="n"/>
      <c r="T488" s="96" t="n"/>
      <c r="U488" s="96" t="n"/>
      <c r="V488" s="96" t="n"/>
      <c r="W488" s="96" t="n"/>
      <c r="X488" s="96" t="n"/>
      <c r="Y488" s="96" t="n"/>
      <c r="Z488" s="96" t="n"/>
      <c r="AA488" s="96" t="n"/>
      <c r="AB488" s="96" t="n"/>
      <c r="AC488" s="96" t="n"/>
      <c r="AD488" s="96" t="n"/>
      <c r="AE488" s="96" t="n"/>
      <c r="AF488" s="96" t="n"/>
      <c r="AG488" s="96" t="n"/>
      <c r="AH488" s="96" t="n"/>
      <c r="AI488" s="96" t="n"/>
      <c r="AJ488" s="96" t="n"/>
      <c r="AK488" s="96" t="n"/>
      <c r="AL488" s="96" t="n"/>
      <c r="AM488" s="96" t="n"/>
      <c r="AN488" s="96" t="n"/>
      <c r="AO488" s="96" t="n"/>
      <c r="AP488" s="96" t="n"/>
      <c r="AQ488" s="96" t="n"/>
      <c r="AR488" s="96" t="n"/>
      <c r="AS488" s="96" t="n"/>
      <c r="AT488" s="96" t="n"/>
      <c r="AU488" s="96" t="n"/>
      <c r="AV488" s="96" t="n"/>
      <c r="AW488" s="96" t="n"/>
      <c r="AX488" s="96" t="n"/>
      <c r="AY488" s="96" t="n"/>
      <c r="AZ488" s="96" t="n"/>
      <c r="BA488" s="96" t="n"/>
      <c r="BB488" s="96" t="n"/>
    </row>
    <row r="489" ht="22" customHeight="1" s="110">
      <c r="A489" s="97" t="n"/>
      <c r="B489" s="97" t="n"/>
      <c r="C489" s="97" t="n"/>
      <c r="D489" s="97" t="n"/>
      <c r="E489" s="97" t="n"/>
      <c r="F489" s="97" t="n"/>
      <c r="G489" s="97" t="n"/>
      <c r="H489" s="97" t="n"/>
      <c r="I489" s="97" t="n"/>
      <c r="J489" s="97" t="n"/>
      <c r="L489" s="97" t="n"/>
      <c r="M489" s="97" t="n"/>
      <c r="N489" s="97" t="n"/>
      <c r="O489" s="97" t="n"/>
      <c r="Q489" s="97" t="n"/>
      <c r="R489" s="97" t="n"/>
      <c r="S489" s="97" t="n"/>
      <c r="T489" s="97" t="n"/>
      <c r="U489" s="97" t="n"/>
      <c r="V489" s="97" t="n"/>
      <c r="W489" s="97" t="n"/>
      <c r="X489" s="97" t="n"/>
      <c r="Y489" s="97" t="n"/>
      <c r="Z489" s="97" t="n"/>
      <c r="AA489" s="97" t="n"/>
      <c r="AB489" s="97" t="n"/>
      <c r="AC489" s="97" t="n"/>
      <c r="AD489" s="97" t="n"/>
      <c r="AE489" s="97" t="n"/>
      <c r="AF489" s="97" t="n"/>
      <c r="AG489" s="97" t="n"/>
      <c r="AH489" s="97" t="n"/>
      <c r="AI489" s="97" t="n"/>
      <c r="AJ489" s="97" t="n"/>
      <c r="AK489" s="97" t="n"/>
      <c r="AL489" s="97" t="n"/>
      <c r="AM489" s="97" t="n"/>
      <c r="AN489" s="97" t="n"/>
      <c r="AO489" s="97" t="n"/>
      <c r="AP489" s="97" t="n"/>
      <c r="AQ489" s="97" t="n"/>
      <c r="AR489" s="97" t="n"/>
      <c r="AS489" s="97" t="n"/>
      <c r="AT489" s="97" t="n"/>
      <c r="AU489" s="97" t="n"/>
      <c r="AV489" s="97" t="n"/>
      <c r="AW489" s="97" t="n"/>
      <c r="AX489" s="97" t="n"/>
      <c r="AY489" s="97" t="n"/>
      <c r="AZ489" s="97" t="n"/>
      <c r="BA489" s="97" t="n"/>
      <c r="BB489" s="97" t="n"/>
    </row>
    <row r="490" ht="22" customHeight="1" s="110">
      <c r="A490" s="96" t="n"/>
      <c r="B490" s="96" t="n"/>
      <c r="C490" s="96" t="n"/>
      <c r="D490" s="96" t="n"/>
      <c r="E490" s="96" t="n"/>
      <c r="F490" s="96" t="n"/>
      <c r="G490" s="96" t="n"/>
      <c r="H490" s="96" t="n"/>
      <c r="I490" s="96" t="n"/>
      <c r="J490" s="96" t="n"/>
      <c r="L490" s="96" t="n"/>
      <c r="M490" s="96" t="n"/>
      <c r="N490" s="96" t="n"/>
      <c r="O490" s="96" t="n"/>
      <c r="Q490" s="96" t="n"/>
      <c r="R490" s="96" t="n"/>
      <c r="S490" s="96" t="n"/>
      <c r="T490" s="96" t="n"/>
      <c r="U490" s="96" t="n"/>
      <c r="V490" s="96" t="n"/>
      <c r="W490" s="96" t="n"/>
      <c r="X490" s="96" t="n"/>
      <c r="Y490" s="96" t="n"/>
      <c r="Z490" s="96" t="n"/>
      <c r="AA490" s="96" t="n"/>
      <c r="AB490" s="96" t="n"/>
      <c r="AC490" s="96" t="n"/>
      <c r="AD490" s="96" t="n"/>
      <c r="AE490" s="96" t="n"/>
      <c r="AF490" s="96" t="n"/>
      <c r="AG490" s="96" t="n"/>
      <c r="AH490" s="96" t="n"/>
      <c r="AI490" s="96" t="n"/>
      <c r="AJ490" s="96" t="n"/>
      <c r="AK490" s="96" t="n"/>
      <c r="AL490" s="96" t="n"/>
      <c r="AM490" s="96" t="n"/>
      <c r="AN490" s="96" t="n"/>
      <c r="AO490" s="96" t="n"/>
      <c r="AP490" s="96" t="n"/>
      <c r="AQ490" s="96" t="n"/>
      <c r="AR490" s="96" t="n"/>
      <c r="AS490" s="96" t="n"/>
      <c r="AT490" s="96" t="n"/>
      <c r="AU490" s="96" t="n"/>
      <c r="AV490" s="96" t="n"/>
      <c r="AW490" s="96" t="n"/>
      <c r="AX490" s="96" t="n"/>
      <c r="AY490" s="96" t="n"/>
      <c r="AZ490" s="96" t="n"/>
      <c r="BA490" s="96" t="n"/>
      <c r="BB490" s="96" t="n"/>
    </row>
    <row r="491" ht="22" customHeight="1" s="110">
      <c r="A491" s="97" t="n"/>
      <c r="B491" s="97" t="n"/>
      <c r="C491" s="97" t="n"/>
      <c r="D491" s="97" t="n"/>
      <c r="E491" s="97" t="n"/>
      <c r="F491" s="97" t="n"/>
      <c r="G491" s="97" t="n"/>
      <c r="H491" s="97" t="n"/>
      <c r="I491" s="97" t="n"/>
      <c r="J491" s="97" t="n"/>
      <c r="L491" s="97" t="n"/>
      <c r="M491" s="97" t="n"/>
      <c r="N491" s="97" t="n"/>
      <c r="O491" s="97" t="n"/>
      <c r="Q491" s="97" t="n"/>
      <c r="R491" s="97" t="n"/>
      <c r="S491" s="97" t="n"/>
      <c r="T491" s="97" t="n"/>
      <c r="U491" s="97" t="n"/>
      <c r="V491" s="97" t="n"/>
      <c r="W491" s="97" t="n"/>
      <c r="X491" s="97" t="n"/>
      <c r="Y491" s="97" t="n"/>
      <c r="Z491" s="97" t="n"/>
      <c r="AA491" s="97" t="n"/>
      <c r="AB491" s="97" t="n"/>
      <c r="AC491" s="97" t="n"/>
      <c r="AD491" s="97" t="n"/>
      <c r="AE491" s="97" t="n"/>
      <c r="AF491" s="97" t="n"/>
      <c r="AG491" s="97" t="n"/>
      <c r="AH491" s="97" t="n"/>
      <c r="AI491" s="97" t="n"/>
      <c r="AJ491" s="97" t="n"/>
      <c r="AK491" s="97" t="n"/>
      <c r="AL491" s="97" t="n"/>
      <c r="AM491" s="97" t="n"/>
      <c r="AN491" s="97" t="n"/>
      <c r="AO491" s="97" t="n"/>
      <c r="AP491" s="97" t="n"/>
      <c r="AQ491" s="97" t="n"/>
      <c r="AR491" s="97" t="n"/>
      <c r="AS491" s="97" t="n"/>
      <c r="AT491" s="97" t="n"/>
      <c r="AU491" s="97" t="n"/>
      <c r="AV491" s="97" t="n"/>
      <c r="AW491" s="97" t="n"/>
      <c r="AX491" s="97" t="n"/>
      <c r="AY491" s="97" t="n"/>
      <c r="AZ491" s="97" t="n"/>
      <c r="BA491" s="97" t="n"/>
      <c r="BB491" s="97" t="n"/>
    </row>
    <row r="492" ht="22" customHeight="1" s="110">
      <c r="A492" s="96" t="n"/>
      <c r="B492" s="96" t="n"/>
      <c r="C492" s="96" t="n"/>
      <c r="D492" s="96" t="n"/>
      <c r="E492" s="96" t="n"/>
      <c r="F492" s="96" t="n"/>
      <c r="G492" s="96" t="n"/>
      <c r="H492" s="96" t="n"/>
      <c r="I492" s="96" t="n"/>
      <c r="J492" s="96" t="n"/>
      <c r="L492" s="96" t="n"/>
      <c r="M492" s="96" t="n"/>
      <c r="N492" s="96" t="n"/>
      <c r="O492" s="96" t="n"/>
      <c r="Q492" s="96" t="n"/>
      <c r="R492" s="96" t="n"/>
      <c r="S492" s="96" t="n"/>
      <c r="T492" s="96" t="n"/>
      <c r="U492" s="96" t="n"/>
      <c r="V492" s="96" t="n"/>
      <c r="W492" s="96" t="n"/>
      <c r="X492" s="96" t="n"/>
      <c r="Y492" s="96" t="n"/>
      <c r="Z492" s="96" t="n"/>
      <c r="AA492" s="96" t="n"/>
      <c r="AB492" s="96" t="n"/>
      <c r="AC492" s="96" t="n"/>
      <c r="AD492" s="96" t="n"/>
      <c r="AE492" s="96" t="n"/>
      <c r="AF492" s="96" t="n"/>
      <c r="AG492" s="96" t="n"/>
      <c r="AH492" s="96" t="n"/>
      <c r="AI492" s="96" t="n"/>
      <c r="AJ492" s="96" t="n"/>
      <c r="AK492" s="96" t="n"/>
      <c r="AL492" s="96" t="n"/>
      <c r="AM492" s="96" t="n"/>
      <c r="AN492" s="96" t="n"/>
      <c r="AO492" s="96" t="n"/>
      <c r="AP492" s="96" t="n"/>
      <c r="AQ492" s="96" t="n"/>
      <c r="AR492" s="96" t="n"/>
      <c r="AS492" s="96" t="n"/>
      <c r="AT492" s="96" t="n"/>
      <c r="AU492" s="96" t="n"/>
      <c r="AV492" s="96" t="n"/>
      <c r="AW492" s="96" t="n"/>
      <c r="AX492" s="96" t="n"/>
      <c r="AY492" s="96" t="n"/>
      <c r="AZ492" s="96" t="n"/>
      <c r="BA492" s="96" t="n"/>
      <c r="BB492" s="96" t="n"/>
    </row>
    <row r="493" ht="22" customHeight="1" s="110">
      <c r="A493" s="97" t="n"/>
      <c r="B493" s="97" t="n"/>
      <c r="C493" s="97" t="n"/>
      <c r="D493" s="97" t="n"/>
      <c r="E493" s="97" t="n"/>
      <c r="F493" s="97" t="n"/>
      <c r="G493" s="97" t="n"/>
      <c r="H493" s="97" t="n"/>
      <c r="I493" s="97" t="n"/>
      <c r="J493" s="97" t="n"/>
      <c r="L493" s="97" t="n"/>
      <c r="M493" s="97" t="n"/>
      <c r="N493" s="97" t="n"/>
      <c r="O493" s="97" t="n"/>
      <c r="Q493" s="97" t="n"/>
      <c r="R493" s="97" t="n"/>
      <c r="S493" s="97" t="n"/>
      <c r="T493" s="97" t="n"/>
      <c r="U493" s="97" t="n"/>
      <c r="V493" s="97" t="n"/>
      <c r="W493" s="97" t="n"/>
      <c r="X493" s="97" t="n"/>
      <c r="Y493" s="97" t="n"/>
      <c r="Z493" s="97" t="n"/>
      <c r="AA493" s="97" t="n"/>
      <c r="AB493" s="97" t="n"/>
      <c r="AC493" s="97" t="n"/>
      <c r="AD493" s="97" t="n"/>
      <c r="AE493" s="97" t="n"/>
      <c r="AF493" s="97" t="n"/>
      <c r="AG493" s="97" t="n"/>
      <c r="AH493" s="97" t="n"/>
      <c r="AI493" s="97" t="n"/>
      <c r="AJ493" s="97" t="n"/>
      <c r="AK493" s="97" t="n"/>
      <c r="AL493" s="97" t="n"/>
      <c r="AM493" s="97" t="n"/>
      <c r="AN493" s="97" t="n"/>
      <c r="AO493" s="97" t="n"/>
      <c r="AP493" s="97" t="n"/>
      <c r="AQ493" s="97" t="n"/>
      <c r="AR493" s="97" t="n"/>
      <c r="AS493" s="97" t="n"/>
      <c r="AT493" s="97" t="n"/>
      <c r="AU493" s="97" t="n"/>
      <c r="AV493" s="97" t="n"/>
      <c r="AW493" s="97" t="n"/>
      <c r="AX493" s="97" t="n"/>
      <c r="AY493" s="97" t="n"/>
      <c r="AZ493" s="97" t="n"/>
      <c r="BA493" s="97" t="n"/>
      <c r="BB493" s="97" t="n"/>
    </row>
    <row r="494" ht="22" customHeight="1" s="110">
      <c r="A494" s="96" t="n"/>
      <c r="B494" s="96" t="n"/>
      <c r="C494" s="96" t="n"/>
      <c r="D494" s="96" t="n"/>
      <c r="E494" s="96" t="n"/>
      <c r="F494" s="96" t="n"/>
      <c r="G494" s="96" t="n"/>
      <c r="H494" s="96" t="n"/>
      <c r="I494" s="96" t="n"/>
      <c r="J494" s="96" t="n"/>
      <c r="L494" s="96" t="n"/>
      <c r="M494" s="96" t="n"/>
      <c r="N494" s="96" t="n"/>
      <c r="O494" s="96" t="n"/>
      <c r="Q494" s="96" t="n"/>
      <c r="R494" s="96" t="n"/>
      <c r="S494" s="96" t="n"/>
      <c r="T494" s="96" t="n"/>
      <c r="U494" s="96" t="n"/>
      <c r="V494" s="96" t="n"/>
      <c r="W494" s="96" t="n"/>
      <c r="X494" s="96" t="n"/>
      <c r="Y494" s="96" t="n"/>
      <c r="Z494" s="96" t="n"/>
      <c r="AA494" s="96" t="n"/>
      <c r="AB494" s="96" t="n"/>
      <c r="AC494" s="96" t="n"/>
      <c r="AD494" s="96" t="n"/>
      <c r="AE494" s="96" t="n"/>
      <c r="AF494" s="96" t="n"/>
      <c r="AG494" s="96" t="n"/>
      <c r="AH494" s="96" t="n"/>
      <c r="AI494" s="96" t="n"/>
      <c r="AJ494" s="96" t="n"/>
      <c r="AK494" s="96" t="n"/>
      <c r="AL494" s="96" t="n"/>
      <c r="AM494" s="96" t="n"/>
      <c r="AN494" s="96" t="n"/>
      <c r="AO494" s="96" t="n"/>
      <c r="AP494" s="96" t="n"/>
      <c r="AQ494" s="96" t="n"/>
      <c r="AR494" s="96" t="n"/>
      <c r="AS494" s="96" t="n"/>
      <c r="AT494" s="96" t="n"/>
      <c r="AU494" s="96" t="n"/>
      <c r="AV494" s="96" t="n"/>
      <c r="AW494" s="96" t="n"/>
      <c r="AX494" s="96" t="n"/>
      <c r="AY494" s="96" t="n"/>
      <c r="AZ494" s="96" t="n"/>
      <c r="BA494" s="96" t="n"/>
      <c r="BB494" s="96" t="n"/>
    </row>
    <row r="495" ht="22" customHeight="1" s="110">
      <c r="A495" s="97" t="n"/>
      <c r="B495" s="97" t="n"/>
      <c r="C495" s="97" t="n"/>
      <c r="D495" s="97" t="n"/>
      <c r="E495" s="97" t="n"/>
      <c r="F495" s="97" t="n"/>
      <c r="G495" s="97" t="n"/>
      <c r="H495" s="97" t="n"/>
      <c r="I495" s="97" t="n"/>
      <c r="J495" s="97" t="n"/>
      <c r="L495" s="97" t="n"/>
      <c r="M495" s="97" t="n"/>
      <c r="N495" s="97" t="n"/>
      <c r="O495" s="97" t="n"/>
      <c r="Q495" s="97" t="n"/>
      <c r="R495" s="97" t="n"/>
      <c r="S495" s="97" t="n"/>
      <c r="T495" s="97" t="n"/>
      <c r="U495" s="97" t="n"/>
      <c r="V495" s="97" t="n"/>
      <c r="W495" s="97" t="n"/>
      <c r="X495" s="97" t="n"/>
      <c r="Y495" s="97" t="n"/>
      <c r="Z495" s="97" t="n"/>
      <c r="AA495" s="97" t="n"/>
      <c r="AB495" s="97" t="n"/>
      <c r="AC495" s="97" t="n"/>
      <c r="AD495" s="97" t="n"/>
      <c r="AE495" s="97" t="n"/>
      <c r="AF495" s="97" t="n"/>
      <c r="AG495" s="97" t="n"/>
      <c r="AH495" s="97" t="n"/>
      <c r="AI495" s="97" t="n"/>
      <c r="AJ495" s="97" t="n"/>
      <c r="AK495" s="97" t="n"/>
      <c r="AL495" s="97" t="n"/>
      <c r="AM495" s="97" t="n"/>
      <c r="AN495" s="97" t="n"/>
      <c r="AO495" s="97" t="n"/>
      <c r="AP495" s="97" t="n"/>
      <c r="AQ495" s="97" t="n"/>
      <c r="AR495" s="97" t="n"/>
      <c r="AS495" s="97" t="n"/>
      <c r="AT495" s="97" t="n"/>
      <c r="AU495" s="97" t="n"/>
      <c r="AV495" s="97" t="n"/>
      <c r="AW495" s="97" t="n"/>
      <c r="AX495" s="97" t="n"/>
      <c r="AY495" s="97" t="n"/>
      <c r="AZ495" s="97" t="n"/>
      <c r="BA495" s="97" t="n"/>
      <c r="BB495" s="97" t="n"/>
    </row>
    <row r="496" ht="22" customHeight="1" s="110">
      <c r="A496" s="96" t="n"/>
      <c r="B496" s="96" t="n"/>
      <c r="C496" s="96" t="n"/>
      <c r="D496" s="96" t="n"/>
      <c r="E496" s="96" t="n"/>
      <c r="F496" s="96" t="n"/>
      <c r="G496" s="96" t="n"/>
      <c r="H496" s="96" t="n"/>
      <c r="I496" s="96" t="n"/>
      <c r="J496" s="96" t="n"/>
      <c r="L496" s="96" t="n"/>
      <c r="M496" s="96" t="n"/>
      <c r="N496" s="96" t="n"/>
      <c r="O496" s="96" t="n"/>
      <c r="Q496" s="96" t="n"/>
      <c r="R496" s="96" t="n"/>
      <c r="S496" s="96" t="n"/>
      <c r="T496" s="96" t="n"/>
      <c r="U496" s="96" t="n"/>
      <c r="V496" s="96" t="n"/>
      <c r="W496" s="96" t="n"/>
      <c r="X496" s="96" t="n"/>
      <c r="Y496" s="96" t="n"/>
      <c r="Z496" s="96" t="n"/>
      <c r="AA496" s="96" t="n"/>
      <c r="AB496" s="96" t="n"/>
      <c r="AC496" s="96" t="n"/>
      <c r="AD496" s="96" t="n"/>
      <c r="AE496" s="96" t="n"/>
      <c r="AF496" s="96" t="n"/>
      <c r="AG496" s="96" t="n"/>
      <c r="AH496" s="96" t="n"/>
      <c r="AI496" s="96" t="n"/>
      <c r="AJ496" s="96" t="n"/>
      <c r="AK496" s="96" t="n"/>
      <c r="AL496" s="96" t="n"/>
      <c r="AM496" s="96" t="n"/>
      <c r="AN496" s="96" t="n"/>
      <c r="AO496" s="96" t="n"/>
      <c r="AP496" s="96" t="n"/>
      <c r="AQ496" s="96" t="n"/>
      <c r="AR496" s="96" t="n"/>
      <c r="AS496" s="96" t="n"/>
      <c r="AT496" s="96" t="n"/>
      <c r="AU496" s="96" t="n"/>
      <c r="AV496" s="96" t="n"/>
      <c r="AW496" s="96" t="n"/>
      <c r="AX496" s="96" t="n"/>
      <c r="AY496" s="96" t="n"/>
      <c r="AZ496" s="96" t="n"/>
      <c r="BA496" s="96" t="n"/>
      <c r="BB496" s="96" t="n"/>
    </row>
    <row r="497" ht="22" customHeight="1" s="110">
      <c r="A497" s="97" t="n"/>
      <c r="B497" s="97" t="n"/>
      <c r="C497" s="97" t="n"/>
      <c r="D497" s="97" t="n"/>
      <c r="E497" s="97" t="n"/>
      <c r="F497" s="97" t="n"/>
      <c r="G497" s="97" t="n"/>
      <c r="H497" s="97" t="n"/>
      <c r="I497" s="97" t="n"/>
      <c r="J497" s="97" t="n"/>
      <c r="L497" s="97" t="n"/>
      <c r="M497" s="97" t="n"/>
      <c r="N497" s="97" t="n"/>
      <c r="O497" s="97" t="n"/>
      <c r="Q497" s="97" t="n"/>
      <c r="R497" s="97" t="n"/>
      <c r="S497" s="97" t="n"/>
      <c r="T497" s="97" t="n"/>
      <c r="U497" s="97" t="n"/>
      <c r="V497" s="97" t="n"/>
      <c r="W497" s="97" t="n"/>
      <c r="X497" s="97" t="n"/>
      <c r="Y497" s="97" t="n"/>
      <c r="Z497" s="97" t="n"/>
      <c r="AA497" s="97" t="n"/>
      <c r="AB497" s="97" t="n"/>
      <c r="AC497" s="97" t="n"/>
      <c r="AD497" s="97" t="n"/>
      <c r="AE497" s="97" t="n"/>
      <c r="AF497" s="97" t="n"/>
      <c r="AG497" s="97" t="n"/>
      <c r="AH497" s="97" t="n"/>
      <c r="AI497" s="97" t="n"/>
      <c r="AJ497" s="97" t="n"/>
      <c r="AK497" s="97" t="n"/>
      <c r="AL497" s="97" t="n"/>
      <c r="AM497" s="97" t="n"/>
      <c r="AN497" s="97" t="n"/>
      <c r="AO497" s="97" t="n"/>
      <c r="AP497" s="97" t="n"/>
      <c r="AQ497" s="97" t="n"/>
      <c r="AR497" s="97" t="n"/>
      <c r="AS497" s="97" t="n"/>
      <c r="AT497" s="97" t="n"/>
      <c r="AU497" s="97" t="n"/>
      <c r="AV497" s="97" t="n"/>
      <c r="AW497" s="97" t="n"/>
      <c r="AX497" s="97" t="n"/>
      <c r="AY497" s="97" t="n"/>
      <c r="AZ497" s="97" t="n"/>
      <c r="BA497" s="97" t="n"/>
      <c r="BB497" s="97" t="n"/>
    </row>
    <row r="498" ht="22" customHeight="1" s="110">
      <c r="A498" s="96" t="n"/>
      <c r="B498" s="96" t="n"/>
      <c r="C498" s="96" t="n"/>
      <c r="D498" s="96" t="n"/>
      <c r="E498" s="96" t="n"/>
      <c r="F498" s="96" t="n"/>
      <c r="G498" s="96" t="n"/>
      <c r="H498" s="96" t="n"/>
      <c r="I498" s="96" t="n"/>
      <c r="J498" s="96" t="n"/>
      <c r="L498" s="96" t="n"/>
      <c r="M498" s="96" t="n"/>
      <c r="N498" s="96" t="n"/>
      <c r="O498" s="96" t="n"/>
      <c r="Q498" s="96" t="n"/>
      <c r="R498" s="96" t="n"/>
      <c r="S498" s="96" t="n"/>
      <c r="T498" s="96" t="n"/>
      <c r="U498" s="96" t="n"/>
      <c r="V498" s="96" t="n"/>
      <c r="W498" s="96" t="n"/>
      <c r="X498" s="96" t="n"/>
      <c r="Y498" s="96" t="n"/>
      <c r="Z498" s="96" t="n"/>
      <c r="AA498" s="96" t="n"/>
      <c r="AB498" s="96" t="n"/>
      <c r="AC498" s="96" t="n"/>
      <c r="AD498" s="96" t="n"/>
      <c r="AE498" s="96" t="n"/>
      <c r="AF498" s="96" t="n"/>
      <c r="AG498" s="96" t="n"/>
      <c r="AH498" s="96" t="n"/>
      <c r="AI498" s="96" t="n"/>
      <c r="AJ498" s="96" t="n"/>
      <c r="AK498" s="96" t="n"/>
      <c r="AL498" s="96" t="n"/>
      <c r="AM498" s="96" t="n"/>
      <c r="AN498" s="96" t="n"/>
      <c r="AO498" s="96" t="n"/>
      <c r="AP498" s="96" t="n"/>
      <c r="AQ498" s="96" t="n"/>
      <c r="AR498" s="96" t="n"/>
      <c r="AS498" s="96" t="n"/>
      <c r="AT498" s="96" t="n"/>
      <c r="AU498" s="96" t="n"/>
      <c r="AV498" s="96" t="n"/>
      <c r="AW498" s="96" t="n"/>
      <c r="AX498" s="96" t="n"/>
      <c r="AY498" s="96" t="n"/>
      <c r="AZ498" s="96" t="n"/>
      <c r="BA498" s="96" t="n"/>
      <c r="BB498" s="96" t="n"/>
    </row>
    <row r="499" ht="22" customHeight="1" s="110">
      <c r="A499" s="97" t="n"/>
      <c r="B499" s="97" t="n"/>
      <c r="C499" s="97" t="n"/>
      <c r="D499" s="97" t="n"/>
      <c r="E499" s="97" t="n"/>
      <c r="F499" s="97" t="n"/>
      <c r="G499" s="97" t="n"/>
      <c r="H499" s="97" t="n"/>
      <c r="I499" s="97" t="n"/>
      <c r="J499" s="97" t="n"/>
      <c r="L499" s="97" t="n"/>
      <c r="M499" s="97" t="n"/>
      <c r="N499" s="97" t="n"/>
      <c r="O499" s="97" t="n"/>
      <c r="Q499" s="97" t="n"/>
      <c r="R499" s="97" t="n"/>
      <c r="S499" s="97" t="n"/>
      <c r="T499" s="97" t="n"/>
      <c r="U499" s="97" t="n"/>
      <c r="V499" s="97" t="n"/>
      <c r="W499" s="97" t="n"/>
      <c r="X499" s="97" t="n"/>
      <c r="Y499" s="97" t="n"/>
      <c r="Z499" s="97" t="n"/>
      <c r="AA499" s="97" t="n"/>
      <c r="AB499" s="97" t="n"/>
      <c r="AC499" s="97" t="n"/>
      <c r="AD499" s="97" t="n"/>
      <c r="AE499" s="97" t="n"/>
      <c r="AF499" s="97" t="n"/>
      <c r="AG499" s="97" t="n"/>
      <c r="AH499" s="97" t="n"/>
      <c r="AI499" s="97" t="n"/>
      <c r="AJ499" s="97" t="n"/>
      <c r="AK499" s="97" t="n"/>
      <c r="AL499" s="97" t="n"/>
      <c r="AM499" s="97" t="n"/>
      <c r="AN499" s="97" t="n"/>
      <c r="AO499" s="97" t="n"/>
      <c r="AP499" s="97" t="n"/>
      <c r="AQ499" s="97" t="n"/>
      <c r="AR499" s="97" t="n"/>
      <c r="AS499" s="97" t="n"/>
      <c r="AT499" s="97" t="n"/>
      <c r="AU499" s="97" t="n"/>
      <c r="AV499" s="97" t="n"/>
      <c r="AW499" s="97" t="n"/>
      <c r="AX499" s="97" t="n"/>
      <c r="AY499" s="97" t="n"/>
      <c r="AZ499" s="97" t="n"/>
      <c r="BA499" s="97" t="n"/>
      <c r="BB499" s="97" t="n"/>
    </row>
    <row r="500" ht="22" customHeight="1" s="110">
      <c r="A500" s="96" t="n"/>
      <c r="B500" s="96" t="n"/>
      <c r="C500" s="96" t="n"/>
      <c r="D500" s="96" t="n"/>
      <c r="E500" s="96" t="n"/>
      <c r="F500" s="96" t="n"/>
      <c r="G500" s="96" t="n"/>
      <c r="H500" s="96" t="n"/>
      <c r="I500" s="96" t="n"/>
      <c r="J500" s="96" t="n"/>
      <c r="L500" s="96" t="n"/>
      <c r="M500" s="96" t="n"/>
      <c r="N500" s="96" t="n"/>
      <c r="O500" s="96" t="n"/>
      <c r="Q500" s="96" t="n"/>
      <c r="R500" s="96" t="n"/>
      <c r="S500" s="96" t="n"/>
      <c r="T500" s="96" t="n"/>
      <c r="U500" s="96" t="n"/>
      <c r="V500" s="96" t="n"/>
      <c r="W500" s="96" t="n"/>
      <c r="X500" s="96" t="n"/>
      <c r="Y500" s="96" t="n"/>
      <c r="Z500" s="96" t="n"/>
      <c r="AA500" s="96" t="n"/>
      <c r="AB500" s="96" t="n"/>
      <c r="AC500" s="96" t="n"/>
      <c r="AD500" s="96" t="n"/>
      <c r="AE500" s="96" t="n"/>
      <c r="AF500" s="96" t="n"/>
      <c r="AG500" s="96" t="n"/>
      <c r="AH500" s="96" t="n"/>
      <c r="AI500" s="96" t="n"/>
      <c r="AJ500" s="96" t="n"/>
      <c r="AK500" s="96" t="n"/>
      <c r="AL500" s="96" t="n"/>
      <c r="AM500" s="96" t="n"/>
      <c r="AN500" s="96" t="n"/>
      <c r="AO500" s="96" t="n"/>
      <c r="AP500" s="96" t="n"/>
      <c r="AQ500" s="96" t="n"/>
      <c r="AR500" s="96" t="n"/>
      <c r="AS500" s="96" t="n"/>
      <c r="AT500" s="96" t="n"/>
      <c r="AU500" s="96" t="n"/>
      <c r="AV500" s="96" t="n"/>
      <c r="AW500" s="96" t="n"/>
      <c r="AX500" s="96" t="n"/>
      <c r="AY500" s="96" t="n"/>
      <c r="AZ500" s="96" t="n"/>
      <c r="BA500" s="96" t="n"/>
      <c r="BB500" s="96" t="n"/>
    </row>
  </sheetData>
  <mergeCells count="14">
    <mergeCell ref="A4:C4"/>
    <mergeCell ref="A2:BB2"/>
    <mergeCell ref="AO4:AU4"/>
    <mergeCell ref="D4:I4"/>
    <mergeCell ref="AA4:AG4"/>
    <mergeCell ref="AV4:AY4"/>
    <mergeCell ref="R4:T4"/>
    <mergeCell ref="A1:BB1"/>
    <mergeCell ref="AH4:AN4"/>
    <mergeCell ref="J4:L4"/>
    <mergeCell ref="A3:BB3"/>
    <mergeCell ref="U4:Z4"/>
    <mergeCell ref="AZ4:BB4"/>
    <mergeCell ref="M4:Q4"/>
  </mergeCells>
  <conditionalFormatting sqref="D6:E500">
    <cfRule type="expression" priority="152" dxfId="0">
      <formula>$H6="● Done"</formula>
    </cfRule>
  </conditionalFormatting>
  <conditionalFormatting sqref="H6:H500">
    <cfRule type="cellIs" priority="2" operator="equal" dxfId="23">
      <formula>"● To Do"</formula>
    </cfRule>
    <cfRule type="cellIs" priority="4" operator="equal" dxfId="15">
      <formula>"● Done"</formula>
    </cfRule>
    <cfRule type="cellIs" priority="5" operator="equal" dxfId="19">
      <formula>"● Waiting"</formula>
    </cfRule>
    <cfRule type="cellIs" priority="6" operator="equal" dxfId="18">
      <formula>"● N/A"</formula>
    </cfRule>
    <cfRule type="cellIs" priority="7" operator="equal" dxfId="16">
      <formula>"● Pendente"</formula>
    </cfRule>
    <cfRule type="cellIs" priority="8" operator="equal" dxfId="15">
      <formula>"● Concluído"</formula>
    </cfRule>
    <cfRule type="cellIs" priority="9" operator="equal" dxfId="18">
      <formula>"● Cancelado"</formula>
    </cfRule>
    <cfRule type="cellIs" priority="10" operator="equal" dxfId="15">
      <formula>"● Sim"</formula>
    </cfRule>
    <cfRule type="cellIs" priority="11" operator="equal" dxfId="16">
      <formula>"● Não"</formula>
    </cfRule>
    <cfRule type="cellIs" priority="3" operator="equal" dxfId="22">
      <formula>"● Doing"</formula>
    </cfRule>
  </conditionalFormatting>
  <conditionalFormatting sqref="J6:K500">
    <cfRule type="cellIs" priority="12" operator="equal" dxfId="23">
      <formula>"● To Do"</formula>
    </cfRule>
    <cfRule type="cellIs" priority="13" operator="equal" dxfId="22">
      <formula>"● Doing"</formula>
    </cfRule>
    <cfRule type="cellIs" priority="14" operator="equal" dxfId="15">
      <formula>"● Done"</formula>
    </cfRule>
    <cfRule type="cellIs" priority="15" operator="equal" dxfId="19">
      <formula>"● Waiting"</formula>
    </cfRule>
    <cfRule type="cellIs" priority="16" operator="equal" dxfId="18">
      <formula>"● N/A"</formula>
    </cfRule>
    <cfRule type="cellIs" priority="17" operator="equal" dxfId="16">
      <formula>"● Pendente"</formula>
    </cfRule>
    <cfRule type="cellIs" priority="18" operator="equal" dxfId="15">
      <formula>"● Concluído"</formula>
    </cfRule>
    <cfRule type="cellIs" priority="19" operator="equal" dxfId="18">
      <formula>"● Cancelado"</formula>
    </cfRule>
    <cfRule type="cellIs" priority="20" operator="equal" dxfId="15">
      <formula>"● Sim"</formula>
    </cfRule>
    <cfRule type="cellIs" priority="21" operator="equal" dxfId="16">
      <formula>"● Não"</formula>
    </cfRule>
  </conditionalFormatting>
  <conditionalFormatting sqref="M6:P500">
    <cfRule type="cellIs" priority="22" operator="equal" dxfId="23">
      <formula>"● To Do"</formula>
    </cfRule>
    <cfRule type="cellIs" priority="23" operator="equal" dxfId="22">
      <formula>"● Doing"</formula>
    </cfRule>
    <cfRule type="cellIs" priority="24" operator="equal" dxfId="15">
      <formula>"● Done"</formula>
    </cfRule>
    <cfRule type="cellIs" priority="25" operator="equal" dxfId="19">
      <formula>"● Waiting"</formula>
    </cfRule>
    <cfRule type="cellIs" priority="26" operator="equal" dxfId="18">
      <formula>"● N/A"</formula>
    </cfRule>
    <cfRule type="cellIs" priority="27" operator="equal" dxfId="16">
      <formula>"● Pendente"</formula>
    </cfRule>
    <cfRule type="cellIs" priority="28" operator="equal" dxfId="15">
      <formula>"● Concluído"</formula>
    </cfRule>
    <cfRule type="cellIs" priority="29" operator="equal" dxfId="18">
      <formula>"● Cancelado"</formula>
    </cfRule>
    <cfRule type="cellIs" priority="30" operator="equal" dxfId="15">
      <formula>"● Sim"</formula>
    </cfRule>
    <cfRule type="cellIs" priority="31" operator="equal" dxfId="16">
      <formula>"● Não"</formula>
    </cfRule>
  </conditionalFormatting>
  <conditionalFormatting sqref="R6:S500">
    <cfRule type="cellIs" priority="32" operator="equal" dxfId="23">
      <formula>"● To Do"</formula>
    </cfRule>
    <cfRule type="cellIs" priority="33" operator="equal" dxfId="22">
      <formula>"● Doing"</formula>
    </cfRule>
    <cfRule type="cellIs" priority="34" operator="equal" dxfId="15">
      <formula>"● Done"</formula>
    </cfRule>
    <cfRule type="cellIs" priority="35" operator="equal" dxfId="19">
      <formula>"● Waiting"</formula>
    </cfRule>
    <cfRule type="cellIs" priority="36" operator="equal" dxfId="18">
      <formula>"● N/A"</formula>
    </cfRule>
    <cfRule type="cellIs" priority="37" operator="equal" dxfId="16">
      <formula>"● Pendente"</formula>
    </cfRule>
    <cfRule type="cellIs" priority="38" operator="equal" dxfId="15">
      <formula>"● Concluído"</formula>
    </cfRule>
    <cfRule type="cellIs" priority="39" operator="equal" dxfId="18">
      <formula>"● Cancelado"</formula>
    </cfRule>
    <cfRule type="cellIs" priority="40" operator="equal" dxfId="15">
      <formula>"● Sim"</formula>
    </cfRule>
    <cfRule type="cellIs" priority="41" operator="equal" dxfId="16">
      <formula>"● Não"</formula>
    </cfRule>
  </conditionalFormatting>
  <conditionalFormatting sqref="U6:X500">
    <cfRule type="cellIs" priority="42" operator="equal" dxfId="23">
      <formula>"● To Do"</formula>
    </cfRule>
    <cfRule type="cellIs" priority="43" operator="equal" dxfId="22">
      <formula>"● Doing"</formula>
    </cfRule>
    <cfRule type="cellIs" priority="44" operator="equal" dxfId="15">
      <formula>"● Done"</formula>
    </cfRule>
    <cfRule type="cellIs" priority="45" operator="equal" dxfId="19">
      <formula>"● Waiting"</formula>
    </cfRule>
    <cfRule type="cellIs" priority="46" operator="equal" dxfId="18">
      <formula>"● N/A"</formula>
    </cfRule>
    <cfRule type="cellIs" priority="47" operator="equal" dxfId="16">
      <formula>"● Pendente"</formula>
    </cfRule>
    <cfRule type="cellIs" priority="48" operator="equal" dxfId="15">
      <formula>"● Concluído"</formula>
    </cfRule>
    <cfRule type="cellIs" priority="49" operator="equal" dxfId="18">
      <formula>"● Cancelado"</formula>
    </cfRule>
    <cfRule type="cellIs" priority="50" operator="equal" dxfId="15">
      <formula>"● Sim"</formula>
    </cfRule>
    <cfRule type="cellIs" priority="51" operator="equal" dxfId="16">
      <formula>"● Não"</formula>
    </cfRule>
  </conditionalFormatting>
  <conditionalFormatting sqref="AA6:AC500">
    <cfRule type="cellIs" priority="53" operator="equal" dxfId="22">
      <formula>"● Doing"</formula>
    </cfRule>
    <cfRule type="cellIs" priority="54" operator="equal" dxfId="15">
      <formula>"● Done"</formula>
    </cfRule>
    <cfRule type="cellIs" priority="55" operator="equal" dxfId="19">
      <formula>"● Waiting"</formula>
    </cfRule>
    <cfRule type="cellIs" priority="56" operator="equal" dxfId="18">
      <formula>"● N/A"</formula>
    </cfRule>
    <cfRule type="cellIs" priority="57" operator="equal" dxfId="16">
      <formula>"● Pendente"</formula>
    </cfRule>
    <cfRule type="cellIs" priority="58" operator="equal" dxfId="15">
      <formula>"● Concluído"</formula>
    </cfRule>
    <cfRule type="cellIs" priority="59" operator="equal" dxfId="18">
      <formula>"● Cancelado"</formula>
    </cfRule>
    <cfRule type="cellIs" priority="60" operator="equal" dxfId="15">
      <formula>"● Sim"</formula>
    </cfRule>
    <cfRule type="cellIs" priority="61" operator="equal" dxfId="16">
      <formula>"● Não"</formula>
    </cfRule>
    <cfRule type="cellIs" priority="52" operator="equal" dxfId="23">
      <formula>"● To Do"</formula>
    </cfRule>
  </conditionalFormatting>
  <conditionalFormatting sqref="AE6:AE500">
    <cfRule type="cellIs" priority="122" operator="equal" dxfId="23">
      <formula>"● To Do"</formula>
    </cfRule>
    <cfRule type="cellIs" priority="124" operator="equal" dxfId="15">
      <formula>"● Done"</formula>
    </cfRule>
    <cfRule type="cellIs" priority="125" operator="equal" dxfId="19">
      <formula>"● Waiting"</formula>
    </cfRule>
    <cfRule type="cellIs" priority="126" operator="equal" dxfId="18">
      <formula>"● N/A"</formula>
    </cfRule>
    <cfRule type="cellIs" priority="127" operator="equal" dxfId="16">
      <formula>"● Pendente"</formula>
    </cfRule>
    <cfRule type="cellIs" priority="128" operator="equal" dxfId="15">
      <formula>"● Concluído"</formula>
    </cfRule>
    <cfRule type="cellIs" priority="129" operator="equal" dxfId="18">
      <formula>"● Cancelado"</formula>
    </cfRule>
    <cfRule type="cellIs" priority="123" operator="equal" dxfId="22">
      <formula>"● Doing"</formula>
    </cfRule>
    <cfRule type="cellIs" priority="131" operator="equal" dxfId="16">
      <formula>"● Não"</formula>
    </cfRule>
    <cfRule type="cellIs" priority="130" operator="equal" dxfId="15">
      <formula>"● Sim"</formula>
    </cfRule>
  </conditionalFormatting>
  <conditionalFormatting sqref="AM6:AM500">
    <cfRule type="cellIs" priority="133" operator="equal" dxfId="22">
      <formula>"● Doing"</formula>
    </cfRule>
    <cfRule type="cellIs" priority="132" operator="equal" dxfId="23">
      <formula>"● To Do"</formula>
    </cfRule>
    <cfRule type="cellIs" priority="134" operator="equal" dxfId="15">
      <formula>"● Done"</formula>
    </cfRule>
    <cfRule type="cellIs" priority="135" operator="equal" dxfId="19">
      <formula>"● Waiting"</formula>
    </cfRule>
    <cfRule type="cellIs" priority="136" operator="equal" dxfId="18">
      <formula>"● N/A"</formula>
    </cfRule>
    <cfRule type="cellIs" priority="137" operator="equal" dxfId="16">
      <formula>"● Pendente"</formula>
    </cfRule>
    <cfRule type="cellIs" priority="138" operator="equal" dxfId="15">
      <formula>"● Concluído"</formula>
    </cfRule>
    <cfRule type="cellIs" priority="139" operator="equal" dxfId="18">
      <formula>"● Cancelado"</formula>
    </cfRule>
    <cfRule type="cellIs" priority="140" operator="equal" dxfId="15">
      <formula>"● Sim"</formula>
    </cfRule>
    <cfRule type="cellIs" priority="141" operator="equal" dxfId="16">
      <formula>"● Não"</formula>
    </cfRule>
  </conditionalFormatting>
  <conditionalFormatting sqref="AT6:AT500">
    <cfRule type="cellIs" priority="143" operator="equal" dxfId="22">
      <formula>"● Doing"</formula>
    </cfRule>
    <cfRule type="cellIs" priority="151" operator="equal" dxfId="16">
      <formula>"● Não"</formula>
    </cfRule>
    <cfRule type="cellIs" priority="150" operator="equal" dxfId="15">
      <formula>"● Sim"</formula>
    </cfRule>
    <cfRule type="cellIs" priority="149" operator="equal" dxfId="18">
      <formula>"● Cancelado"</formula>
    </cfRule>
    <cfRule type="cellIs" priority="148" operator="equal" dxfId="15">
      <formula>"● Concluído"</formula>
    </cfRule>
    <cfRule type="cellIs" priority="147" operator="equal" dxfId="16">
      <formula>"● Pendente"</formula>
    </cfRule>
    <cfRule type="cellIs" priority="146" operator="equal" dxfId="18">
      <formula>"● N/A"</formula>
    </cfRule>
    <cfRule type="cellIs" priority="145" operator="equal" dxfId="19">
      <formula>"● Waiting"</formula>
    </cfRule>
    <cfRule type="cellIs" priority="144" operator="equal" dxfId="15">
      <formula>"● Done"</formula>
    </cfRule>
    <cfRule type="cellIs" priority="142" operator="equal" dxfId="23">
      <formula>"● To Do"</formula>
    </cfRule>
  </conditionalFormatting>
  <conditionalFormatting sqref="AX6:AX500">
    <cfRule type="cellIs" priority="66" operator="equal" dxfId="18">
      <formula>"● N/A"</formula>
    </cfRule>
    <cfRule type="cellIs" priority="62" operator="equal" dxfId="23">
      <formula>"● To Do"</formula>
    </cfRule>
    <cfRule type="cellIs" priority="63" operator="equal" dxfId="22">
      <formula>"● Doing"</formula>
    </cfRule>
    <cfRule type="cellIs" priority="64" operator="equal" dxfId="15">
      <formula>"● Done"</formula>
    </cfRule>
    <cfRule type="cellIs" priority="71" operator="equal" dxfId="16">
      <formula>"● Não"</formula>
    </cfRule>
    <cfRule type="cellIs" priority="65" operator="equal" dxfId="19">
      <formula>"● Waiting"</formula>
    </cfRule>
    <cfRule type="cellIs" priority="69" operator="equal" dxfId="18">
      <formula>"● Cancelado"</formula>
    </cfRule>
    <cfRule type="cellIs" priority="68" operator="equal" dxfId="15">
      <formula>"● Concluído"</formula>
    </cfRule>
    <cfRule type="cellIs" priority="67" operator="equal" dxfId="16">
      <formula>"● Pendente"</formula>
    </cfRule>
    <cfRule type="cellIs" priority="70" operator="equal" dxfId="15">
      <formula>"● Sim"</formula>
    </cfRule>
  </conditionalFormatting>
  <conditionalFormatting sqref="I7">
    <cfRule type="expression" priority="1" dxfId="0">
      <formula>$H7="● Done"</formula>
    </cfRule>
  </conditionalFormatting>
  <dataValidations count="4">
    <dataValidation sqref="H6:H500 J6:K500 M6:N500 R6:S500 U6:V500 AA6:AB500 AX6:AX500" showDropDown="0" showInputMessage="0" showErrorMessage="0" allowBlank="1" type="list">
      <formula1>"● To Do,● Doing,● Done,● Waiting,● N/A"</formula1>
    </dataValidation>
    <dataValidation sqref="O6:P500 W6:X500 AC6:AC500 AE6:AE500" showDropDown="0" showInputMessage="0" showErrorMessage="0" allowBlank="1" type="list">
      <formula1>"● Sim,● Não"</formula1>
    </dataValidation>
    <dataValidation sqref="AM6:AM500 AT6:AT500" showDropDown="0" showInputMessage="0" showErrorMessage="0" allowBlank="1" type="list">
      <formula1>"● Pendente,● Concluído,● Cancelado"</formula1>
    </dataValidation>
    <dataValidation sqref="AL6:AL500 AS6:AS500" showDropDown="0" showInputMessage="0" showErrorMessage="0" allowBlank="1" type="list">
      <formula1>"Semanal,Quinzenal,Mensal,Sem recorrência"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Planilha3">
    <tabColor rgb="FFD4784A"/>
    <outlinePr summaryBelow="0"/>
    <pageSetUpPr/>
  </sheetPr>
  <dimension ref="A1:L99"/>
  <sheetViews>
    <sheetView showGridLines="0" zoomScale="132" workbookViewId="0">
      <pane xSplit="1" ySplit="3" topLeftCell="B4" activePane="bottomRight" state="frozen"/>
      <selection pane="topRight" activeCell="A1" sqref="A1"/>
      <selection pane="bottomLeft" activeCell="A1" sqref="A1"/>
      <selection pane="bottomRight" activeCell="B4" sqref="B4:K4"/>
    </sheetView>
  </sheetViews>
  <sheetFormatPr baseColWidth="10" defaultColWidth="8.83203125" defaultRowHeight="15" outlineLevelRow="1"/>
  <cols>
    <col width="2.1640625" customWidth="1" style="110" min="1" max="1"/>
    <col width="26" customWidth="1" style="110" min="2" max="2"/>
    <col width="14" customWidth="1" style="110" min="3" max="3"/>
    <col width="28" customWidth="1" style="110" min="4" max="4"/>
    <col width="14" customWidth="1" style="110" min="5" max="5"/>
    <col width="12" customWidth="1" style="110" min="6" max="9"/>
    <col width="14" customWidth="1" style="110" min="10" max="10"/>
    <col width="18" customWidth="1" style="110" min="11" max="11"/>
    <col width="35" customWidth="1" style="110" min="12" max="12"/>
  </cols>
  <sheetData>
    <row r="1" ht="40" customHeight="1" s="110">
      <c r="A1" s="1" t="n"/>
      <c r="B1" s="145" t="inlineStr">
        <is>
          <t xml:space="preserve">  📋 SOLICITAÇÕES AO CLIENTE — CONTROLE E COBRANÇAS</t>
        </is>
      </c>
      <c r="L1" s="1" t="n"/>
    </row>
    <row r="2" ht="20" customHeight="1" s="110">
      <c r="A2" s="1" t="n"/>
      <c r="B2" s="146" t="inlineStr">
        <is>
          <t xml:space="preserve">  Auto-sincronizado com a sheet Doing  •  Expand por projeto: ▼</t>
        </is>
      </c>
      <c r="L2" s="1" t="n"/>
    </row>
    <row r="3" ht="28" customHeight="1" s="110">
      <c r="A3" s="1" t="n"/>
      <c r="B3" s="2" t="inlineStr">
        <is>
          <t>Cliente</t>
        </is>
      </c>
      <c r="C3" s="2" t="inlineStr">
        <is>
          <t>GTB</t>
        </is>
      </c>
      <c r="D3" s="2" t="inlineStr">
        <is>
          <t>Tipo / Descrição</t>
        </is>
      </c>
      <c r="E3" s="2" t="inlineStr">
        <is>
          <t>Data Sol.</t>
        </is>
      </c>
      <c r="F3" s="2" t="inlineStr">
        <is>
          <t>1ª Cob.</t>
        </is>
      </c>
      <c r="G3" s="2" t="inlineStr">
        <is>
          <t>2ª Cob.</t>
        </is>
      </c>
      <c r="H3" s="2" t="inlineStr">
        <is>
          <t>3ª Cob.</t>
        </is>
      </c>
      <c r="I3" s="2" t="inlineStr">
        <is>
          <t>+4 Cob.</t>
        </is>
      </c>
      <c r="J3" s="2" t="inlineStr">
        <is>
          <t>Status</t>
        </is>
      </c>
      <c r="K3" s="2" t="inlineStr">
        <is>
          <t>Prazo Final</t>
        </is>
      </c>
      <c r="L3" s="2" t="inlineStr">
        <is>
          <t>Observações</t>
        </is>
      </c>
    </row>
    <row r="4" ht="24" customHeight="1" s="110">
      <c r="A4" s="147" t="inlineStr">
        <is>
          <t>Time  Line</t>
        </is>
      </c>
      <c r="B4" s="144" t="inlineStr">
        <is>
          <t>▼  Dorf Ketal Chemicals FY25</t>
        </is>
      </c>
      <c r="L4" s="1" t="n"/>
    </row>
    <row r="5" outlineLevel="1" ht="22" customHeight="1" s="110">
      <c r="B5" s="19" t="inlineStr">
        <is>
          <t>Dorf Ketal Chemicals FY25</t>
        </is>
      </c>
      <c r="C5" s="7" t="inlineStr">
        <is>
          <t>GTB50612</t>
        </is>
      </c>
      <c r="D5" s="20" t="inlineStr">
        <is>
          <t>Master File — formato correto (IN 1312/2012)</t>
        </is>
      </c>
      <c r="E5" s="21" t="n">
        <v>46239</v>
      </c>
      <c r="F5" s="15" t="n"/>
      <c r="G5" s="15" t="n"/>
      <c r="H5" s="15" t="n"/>
      <c r="I5" s="16" t="inlineStr">
        <is>
          <t>● Cobrado 1x</t>
        </is>
      </c>
      <c r="J5" s="22" t="n">
        <v>46295</v>
      </c>
      <c r="K5" s="20" t="inlineStr">
        <is>
          <t>Primeiro e-mail enviado</t>
        </is>
      </c>
      <c r="L5" s="1" t="n"/>
    </row>
    <row r="6" outlineLevel="1" ht="22" customHeight="1" s="110">
      <c r="B6" s="23" t="inlineStr">
        <is>
          <t>Dorf Ketal Chemicals FY25</t>
        </is>
      </c>
      <c r="C6" s="4" t="inlineStr">
        <is>
          <t>GTB50612</t>
        </is>
      </c>
      <c r="D6" s="24" t="inlineStr">
        <is>
          <t>Master File — reenvio explicando formato exigido</t>
        </is>
      </c>
      <c r="E6" s="25" t="n">
        <v>46253</v>
      </c>
      <c r="F6" s="26" t="n"/>
      <c r="G6" s="26" t="n"/>
      <c r="H6" s="26" t="n"/>
      <c r="I6" s="17" t="inlineStr">
        <is>
          <t>● Pendente</t>
        </is>
      </c>
      <c r="J6" s="27" t="n">
        <v>46295</v>
      </c>
      <c r="K6" s="24" t="inlineStr">
        <is>
          <t>Cliente enviou Excel — não aceito</t>
        </is>
      </c>
      <c r="L6" s="1" t="n"/>
    </row>
    <row r="7" ht="24" customHeight="1" s="110">
      <c r="B7" s="144" t="inlineStr">
        <is>
          <t>▼  BMW do Brasil FY26</t>
        </is>
      </c>
      <c r="L7" s="1" t="n"/>
    </row>
    <row r="8" outlineLevel="1" ht="22" customHeight="1" s="110">
      <c r="B8" s="23" t="inlineStr">
        <is>
          <t>BMW do Brasil FY26</t>
        </is>
      </c>
      <c r="C8" s="4" t="inlineStr">
        <is>
          <t>GTB55638</t>
        </is>
      </c>
      <c r="D8" s="24" t="inlineStr">
        <is>
          <t>Documentação inicial — checklist de dados FY26</t>
        </is>
      </c>
      <c r="E8" s="25" t="n">
        <v>46251</v>
      </c>
      <c r="F8" s="26" t="n"/>
      <c r="G8" s="26" t="n"/>
      <c r="H8" s="26" t="n"/>
      <c r="I8" s="17" t="inlineStr">
        <is>
          <t>● Pendente</t>
        </is>
      </c>
      <c r="J8" s="27" t="n">
        <v>46295</v>
      </c>
      <c r="K8" s="24" t="inlineStr">
        <is>
          <t>E-mail de boas-vindas enviado</t>
        </is>
      </c>
      <c r="L8" s="1" t="n"/>
    </row>
    <row r="9" ht="20" customHeight="1" s="110">
      <c r="B9" s="28" t="n"/>
      <c r="C9" s="28" t="n"/>
      <c r="D9" s="28" t="n"/>
      <c r="E9" s="28" t="n"/>
      <c r="F9" s="28" t="n"/>
      <c r="G9" s="28" t="n"/>
      <c r="H9" s="28" t="n"/>
      <c r="I9" s="28" t="n"/>
      <c r="J9" s="28" t="n"/>
      <c r="K9" s="28" t="n"/>
      <c r="L9" s="1" t="n"/>
    </row>
    <row r="10" ht="20" customHeight="1" s="110">
      <c r="B10" s="29" t="n"/>
      <c r="C10" s="29" t="n"/>
      <c r="D10" s="29" t="n"/>
      <c r="E10" s="29" t="n"/>
      <c r="F10" s="29" t="n"/>
      <c r="G10" s="29" t="n"/>
      <c r="H10" s="29" t="n"/>
      <c r="I10" s="29" t="n"/>
      <c r="J10" s="29" t="n"/>
      <c r="K10" s="29" t="n"/>
      <c r="L10" s="1" t="n"/>
    </row>
    <row r="11" ht="20" customHeight="1" s="110">
      <c r="B11" s="28" t="n"/>
      <c r="C11" s="28" t="n"/>
      <c r="D11" s="28" t="n"/>
      <c r="E11" s="28" t="n"/>
      <c r="F11" s="28" t="n"/>
      <c r="G11" s="28" t="n"/>
      <c r="H11" s="28" t="n"/>
      <c r="I11" s="28" t="n"/>
      <c r="J11" s="28" t="n"/>
      <c r="K11" s="28" t="n"/>
      <c r="L11" s="1" t="n"/>
    </row>
    <row r="12" ht="20" customHeight="1" s="110">
      <c r="B12" s="29" t="n"/>
      <c r="C12" s="29" t="n"/>
      <c r="D12" s="29" t="n"/>
      <c r="E12" s="29" t="n"/>
      <c r="F12" s="29" t="n"/>
      <c r="G12" s="29" t="n"/>
      <c r="H12" s="29" t="n"/>
      <c r="I12" s="29" t="n"/>
      <c r="J12" s="29" t="n"/>
      <c r="K12" s="29" t="n"/>
      <c r="L12" s="1" t="n"/>
    </row>
    <row r="13" ht="20" customHeight="1" s="110">
      <c r="B13" s="28" t="n"/>
      <c r="C13" s="28" t="n"/>
      <c r="D13" s="28" t="n"/>
      <c r="E13" s="28" t="n"/>
      <c r="F13" s="28" t="n"/>
      <c r="G13" s="28" t="n"/>
      <c r="H13" s="28" t="n"/>
      <c r="I13" s="28" t="n"/>
      <c r="J13" s="28" t="n"/>
      <c r="K13" s="28" t="n"/>
      <c r="L13" s="1" t="n"/>
    </row>
    <row r="14" ht="20" customHeight="1" s="110">
      <c r="B14" s="29" t="n"/>
      <c r="C14" s="29" t="n"/>
      <c r="D14" s="29" t="n"/>
      <c r="E14" s="29" t="n"/>
      <c r="F14" s="29" t="n"/>
      <c r="G14" s="29" t="n"/>
      <c r="H14" s="29" t="n"/>
      <c r="I14" s="29" t="n"/>
      <c r="J14" s="29" t="n"/>
      <c r="K14" s="29" t="n"/>
      <c r="L14" s="1" t="n"/>
    </row>
    <row r="15" ht="20" customHeight="1" s="110">
      <c r="B15" s="28" t="n"/>
      <c r="C15" s="28" t="n"/>
      <c r="D15" s="28" t="n"/>
      <c r="E15" s="28" t="n"/>
      <c r="F15" s="28" t="n"/>
      <c r="G15" s="28" t="n"/>
      <c r="H15" s="28" t="n"/>
      <c r="I15" s="28" t="n"/>
      <c r="J15" s="28" t="n"/>
      <c r="K15" s="28" t="n"/>
      <c r="L15" s="1" t="n"/>
    </row>
    <row r="16" ht="20" customHeight="1" s="110">
      <c r="B16" s="29" t="n"/>
      <c r="C16" s="29" t="n"/>
      <c r="D16" s="29" t="n"/>
      <c r="E16" s="29" t="n"/>
      <c r="F16" s="29" t="n"/>
      <c r="G16" s="29" t="n"/>
      <c r="H16" s="29" t="n"/>
      <c r="I16" s="29" t="n"/>
      <c r="J16" s="29" t="n"/>
      <c r="K16" s="29" t="n"/>
      <c r="L16" s="1" t="n"/>
    </row>
    <row r="17" ht="20" customHeight="1" s="110">
      <c r="B17" s="28" t="n"/>
      <c r="C17" s="28" t="n"/>
      <c r="D17" s="28" t="n"/>
      <c r="E17" s="28" t="n"/>
      <c r="F17" s="28" t="n"/>
      <c r="G17" s="28" t="n"/>
      <c r="H17" s="28" t="n"/>
      <c r="I17" s="28" t="n"/>
      <c r="J17" s="28" t="n"/>
      <c r="K17" s="28" t="n"/>
      <c r="L17" s="1" t="n"/>
    </row>
    <row r="18" ht="20" customHeight="1" s="110">
      <c r="B18" s="29" t="n"/>
      <c r="C18" s="29" t="n"/>
      <c r="D18" s="29" t="n"/>
      <c r="E18" s="29" t="n"/>
      <c r="F18" s="29" t="n"/>
      <c r="G18" s="29" t="n"/>
      <c r="H18" s="29" t="n"/>
      <c r="I18" s="29" t="n"/>
      <c r="J18" s="29" t="n"/>
      <c r="K18" s="29" t="n"/>
      <c r="L18" s="1" t="n"/>
    </row>
    <row r="19" ht="20" customHeight="1" s="110">
      <c r="B19" s="28" t="n"/>
      <c r="C19" s="28" t="n"/>
      <c r="D19" s="28" t="n"/>
      <c r="E19" s="28" t="n"/>
      <c r="F19" s="28" t="n"/>
      <c r="G19" s="28" t="n"/>
      <c r="H19" s="28" t="n"/>
      <c r="I19" s="28" t="n"/>
      <c r="J19" s="28" t="n"/>
      <c r="K19" s="28" t="n"/>
      <c r="L19" s="1" t="n"/>
    </row>
    <row r="20" ht="20" customHeight="1" s="110">
      <c r="B20" s="29" t="n"/>
      <c r="C20" s="29" t="n"/>
      <c r="D20" s="29" t="n"/>
      <c r="E20" s="29" t="n"/>
      <c r="F20" s="29" t="n"/>
      <c r="G20" s="29" t="n"/>
      <c r="H20" s="29" t="n"/>
      <c r="I20" s="29" t="n"/>
      <c r="J20" s="29" t="n"/>
      <c r="K20" s="29" t="n"/>
      <c r="L20" s="1" t="n"/>
    </row>
    <row r="21" ht="20" customHeight="1" s="110">
      <c r="B21" s="28" t="n"/>
      <c r="C21" s="28" t="n"/>
      <c r="D21" s="28" t="n"/>
      <c r="E21" s="28" t="n"/>
      <c r="F21" s="28" t="n"/>
      <c r="G21" s="28" t="n"/>
      <c r="H21" s="28" t="n"/>
      <c r="I21" s="28" t="n"/>
      <c r="J21" s="28" t="n"/>
      <c r="K21" s="28" t="n"/>
      <c r="L21" s="1" t="n"/>
    </row>
    <row r="22" ht="20" customHeight="1" s="110">
      <c r="A22" s="1" t="n"/>
      <c r="B22" s="29" t="n"/>
      <c r="C22" s="29" t="n"/>
      <c r="D22" s="29" t="n"/>
      <c r="E22" s="29" t="n"/>
      <c r="F22" s="29" t="n"/>
      <c r="G22" s="29" t="n"/>
      <c r="H22" s="29" t="n"/>
      <c r="I22" s="29" t="n"/>
      <c r="J22" s="29" t="n"/>
      <c r="K22" s="29" t="n"/>
      <c r="L22" s="1" t="n"/>
    </row>
    <row r="23" ht="20" customHeight="1" s="110">
      <c r="A23" s="1" t="n"/>
      <c r="B23" s="28" t="n"/>
      <c r="C23" s="28" t="n"/>
      <c r="D23" s="28" t="n"/>
      <c r="E23" s="28" t="n"/>
      <c r="F23" s="28" t="n"/>
      <c r="G23" s="28" t="n"/>
      <c r="H23" s="28" t="n"/>
      <c r="I23" s="28" t="n"/>
      <c r="J23" s="28" t="n"/>
      <c r="K23" s="28" t="n"/>
      <c r="L23" s="1" t="n"/>
    </row>
    <row r="24" ht="20" customHeight="1" s="110">
      <c r="A24" s="1" t="n"/>
      <c r="B24" s="29" t="n"/>
      <c r="C24" s="29" t="n"/>
      <c r="D24" s="29" t="n"/>
      <c r="E24" s="29" t="n"/>
      <c r="F24" s="29" t="n"/>
      <c r="G24" s="29" t="n"/>
      <c r="H24" s="29" t="n"/>
      <c r="I24" s="29" t="n"/>
      <c r="J24" s="29" t="n"/>
      <c r="K24" s="29" t="n"/>
      <c r="L24" s="1" t="n"/>
    </row>
    <row r="25" ht="20" customHeight="1" s="110">
      <c r="A25" s="1" t="n"/>
      <c r="B25" s="28" t="n"/>
      <c r="C25" s="28" t="n"/>
      <c r="D25" s="28" t="n"/>
      <c r="E25" s="28" t="n"/>
      <c r="F25" s="28" t="n"/>
      <c r="G25" s="28" t="n"/>
      <c r="H25" s="28" t="n"/>
      <c r="I25" s="28" t="n"/>
      <c r="J25" s="28" t="n"/>
      <c r="K25" s="28" t="n"/>
      <c r="L25" s="1" t="n"/>
    </row>
    <row r="26" ht="20" customHeight="1" s="110">
      <c r="A26" s="1" t="n"/>
      <c r="B26" s="29" t="n"/>
      <c r="C26" s="29" t="n"/>
      <c r="D26" s="29" t="n"/>
      <c r="E26" s="29" t="n"/>
      <c r="F26" s="29" t="n"/>
      <c r="G26" s="29" t="n"/>
      <c r="H26" s="29" t="n"/>
      <c r="I26" s="29" t="n"/>
      <c r="J26" s="29" t="n"/>
      <c r="K26" s="29" t="n"/>
      <c r="L26" s="1" t="n"/>
    </row>
    <row r="27" ht="20" customHeight="1" s="110">
      <c r="A27" s="1" t="n"/>
      <c r="B27" s="28" t="n"/>
      <c r="C27" s="28" t="n"/>
      <c r="D27" s="28" t="n"/>
      <c r="E27" s="28" t="n"/>
      <c r="F27" s="28" t="n"/>
      <c r="G27" s="28" t="n"/>
      <c r="H27" s="28" t="n"/>
      <c r="I27" s="28" t="n"/>
      <c r="J27" s="28" t="n"/>
      <c r="K27" s="28" t="n"/>
      <c r="L27" s="1" t="n"/>
    </row>
    <row r="28" ht="20" customHeight="1" s="110">
      <c r="A28" s="1" t="n"/>
      <c r="B28" s="29" t="n"/>
      <c r="C28" s="29" t="n"/>
      <c r="D28" s="29" t="n"/>
      <c r="E28" s="29" t="n"/>
      <c r="F28" s="29" t="n"/>
      <c r="G28" s="29" t="n"/>
      <c r="H28" s="29" t="n"/>
      <c r="I28" s="29" t="n"/>
      <c r="J28" s="29" t="n"/>
      <c r="K28" s="29" t="n"/>
      <c r="L28" s="1" t="n"/>
    </row>
    <row r="29">
      <c r="A29" s="1" t="n"/>
      <c r="B29" s="1" t="n"/>
      <c r="C29" s="1" t="n"/>
      <c r="D29" s="1" t="n"/>
      <c r="E29" s="1" t="n"/>
      <c r="F29" s="1" t="n"/>
      <c r="G29" s="1" t="n"/>
      <c r="H29" s="1" t="n"/>
      <c r="I29" s="1" t="n"/>
      <c r="J29" s="1" t="n"/>
      <c r="K29" s="1" t="n"/>
      <c r="L29" s="1" t="n"/>
    </row>
    <row r="30">
      <c r="A30" s="1" t="n"/>
      <c r="B30" s="1" t="n"/>
      <c r="C30" s="1" t="n"/>
      <c r="D30" s="1" t="n"/>
      <c r="E30" s="1" t="n"/>
      <c r="F30" s="1" t="n"/>
      <c r="G30" s="1" t="n"/>
      <c r="H30" s="1" t="n"/>
      <c r="I30" s="1" t="n"/>
      <c r="J30" s="1" t="n"/>
      <c r="K30" s="1" t="n"/>
      <c r="L30" s="1" t="n"/>
    </row>
    <row r="31">
      <c r="A31" s="1" t="n"/>
      <c r="B31" s="1" t="n"/>
      <c r="C31" s="1" t="n"/>
      <c r="D31" s="1" t="n"/>
      <c r="E31" s="1" t="n"/>
      <c r="F31" s="1" t="n"/>
      <c r="G31" s="1" t="n"/>
      <c r="H31" s="1" t="n"/>
      <c r="I31" s="1" t="n"/>
      <c r="J31" s="1" t="n"/>
      <c r="K31" s="1" t="n"/>
      <c r="L31" s="1" t="n"/>
    </row>
    <row r="32">
      <c r="A32" s="1" t="n"/>
      <c r="B32" s="1" t="n"/>
      <c r="C32" s="1" t="n"/>
      <c r="D32" s="1" t="n"/>
      <c r="E32" s="1" t="n"/>
      <c r="F32" s="1" t="n"/>
      <c r="G32" s="1" t="n"/>
      <c r="H32" s="1" t="n"/>
      <c r="I32" s="1" t="n"/>
      <c r="J32" s="1" t="n"/>
      <c r="K32" s="1" t="n"/>
      <c r="L32" s="1" t="n"/>
    </row>
    <row r="33">
      <c r="A33" s="1" t="n"/>
      <c r="B33" s="1" t="n"/>
      <c r="C33" s="1" t="n"/>
      <c r="D33" s="1" t="n"/>
      <c r="E33" s="1" t="n"/>
      <c r="F33" s="1" t="n"/>
      <c r="G33" s="1" t="n"/>
      <c r="H33" s="1" t="n"/>
      <c r="I33" s="1" t="n"/>
      <c r="J33" s="1" t="n"/>
      <c r="K33" s="1" t="n"/>
      <c r="L33" s="1" t="n"/>
    </row>
    <row r="34">
      <c r="A34" s="1" t="n"/>
      <c r="B34" s="1" t="n"/>
      <c r="C34" s="1" t="n"/>
      <c r="D34" s="1" t="n"/>
      <c r="E34" s="1" t="n"/>
      <c r="F34" s="1" t="n"/>
      <c r="G34" s="1" t="n"/>
      <c r="H34" s="1" t="n"/>
      <c r="I34" s="1" t="n"/>
      <c r="J34" s="1" t="n"/>
      <c r="K34" s="1" t="n"/>
      <c r="L34" s="1" t="n"/>
    </row>
    <row r="35">
      <c r="A35" s="1" t="n"/>
      <c r="B35" s="1" t="n"/>
      <c r="C35" s="1" t="n"/>
      <c r="D35" s="1" t="n"/>
      <c r="E35" s="1" t="n"/>
      <c r="F35" s="1" t="n"/>
      <c r="G35" s="1" t="n"/>
      <c r="H35" s="1" t="n"/>
      <c r="I35" s="1" t="n"/>
      <c r="J35" s="1" t="n"/>
      <c r="K35" s="1" t="n"/>
      <c r="L35" s="1" t="n"/>
    </row>
    <row r="36">
      <c r="A36" s="1" t="n"/>
      <c r="B36" s="1" t="n"/>
      <c r="C36" s="1" t="n"/>
      <c r="D36" s="1" t="n"/>
      <c r="E36" s="1" t="n"/>
      <c r="F36" s="1" t="n"/>
      <c r="G36" s="1" t="n"/>
      <c r="H36" s="1" t="n"/>
      <c r="I36" s="1" t="n"/>
      <c r="J36" s="1" t="n"/>
      <c r="K36" s="1" t="n"/>
      <c r="L36" s="1" t="n"/>
    </row>
    <row r="37">
      <c r="A37" s="1" t="n"/>
      <c r="B37" s="1" t="n"/>
      <c r="C37" s="1" t="n"/>
      <c r="D37" s="1" t="n"/>
      <c r="E37" s="1" t="n"/>
      <c r="F37" s="1" t="n"/>
      <c r="G37" s="1" t="n"/>
      <c r="H37" s="1" t="n"/>
      <c r="I37" s="1" t="n"/>
      <c r="J37" s="1" t="n"/>
      <c r="K37" s="1" t="n"/>
      <c r="L37" s="1" t="n"/>
    </row>
    <row r="38">
      <c r="A38" s="1" t="n"/>
      <c r="B38" s="1" t="n"/>
      <c r="C38" s="1" t="n"/>
      <c r="D38" s="1" t="n"/>
      <c r="E38" s="1" t="n"/>
      <c r="F38" s="1" t="n"/>
      <c r="G38" s="1" t="n"/>
      <c r="H38" s="1" t="n"/>
      <c r="I38" s="1" t="n"/>
      <c r="J38" s="1" t="n"/>
      <c r="K38" s="1" t="n"/>
      <c r="L38" s="1" t="n"/>
    </row>
    <row r="39">
      <c r="A39" s="1" t="n"/>
      <c r="B39" s="1" t="n"/>
      <c r="C39" s="1" t="n"/>
      <c r="D39" s="1" t="n"/>
      <c r="E39" s="1" t="n"/>
      <c r="F39" s="1" t="n"/>
      <c r="G39" s="1" t="n"/>
      <c r="H39" s="1" t="n"/>
      <c r="I39" s="1" t="n"/>
      <c r="J39" s="1" t="n"/>
      <c r="K39" s="1" t="n"/>
      <c r="L39" s="1" t="n"/>
    </row>
    <row r="40">
      <c r="A40" s="1" t="n"/>
      <c r="B40" s="1" t="n"/>
      <c r="C40" s="1" t="n"/>
      <c r="D40" s="1" t="n"/>
      <c r="E40" s="1" t="n"/>
      <c r="F40" s="1" t="n"/>
      <c r="G40" s="1" t="n"/>
      <c r="H40" s="1" t="n"/>
      <c r="I40" s="1" t="n"/>
      <c r="J40" s="1" t="n"/>
      <c r="K40" s="1" t="n"/>
      <c r="L40" s="1" t="n"/>
    </row>
    <row r="41">
      <c r="A41" s="1" t="n"/>
      <c r="B41" s="1" t="n"/>
      <c r="C41" s="1" t="n"/>
      <c r="D41" s="1" t="n"/>
      <c r="E41" s="1" t="n"/>
      <c r="F41" s="1" t="n"/>
      <c r="G41" s="1" t="n"/>
      <c r="H41" s="1" t="n"/>
      <c r="I41" s="1" t="n"/>
      <c r="J41" s="1" t="n"/>
      <c r="K41" s="1" t="n"/>
      <c r="L41" s="1" t="n"/>
    </row>
    <row r="42">
      <c r="A42" s="1" t="n"/>
      <c r="B42" s="1" t="n"/>
      <c r="C42" s="1" t="n"/>
      <c r="D42" s="1" t="n"/>
      <c r="E42" s="1" t="n"/>
      <c r="F42" s="1" t="n"/>
      <c r="G42" s="1" t="n"/>
      <c r="H42" s="1" t="n"/>
      <c r="I42" s="1" t="n"/>
      <c r="J42" s="1" t="n"/>
      <c r="K42" s="1" t="n"/>
      <c r="L42" s="1" t="n"/>
    </row>
    <row r="43">
      <c r="A43" s="1" t="n"/>
      <c r="B43" s="1" t="n"/>
      <c r="C43" s="1" t="n"/>
      <c r="D43" s="1" t="n"/>
      <c r="E43" s="1" t="n"/>
      <c r="F43" s="1" t="n"/>
      <c r="G43" s="1" t="n"/>
      <c r="H43" s="1" t="n"/>
      <c r="I43" s="1" t="n"/>
      <c r="J43" s="1" t="n"/>
      <c r="K43" s="1" t="n"/>
      <c r="L43" s="1" t="n"/>
    </row>
    <row r="44">
      <c r="A44" s="1" t="n"/>
      <c r="B44" s="1" t="n"/>
      <c r="C44" s="1" t="n"/>
      <c r="D44" s="1" t="n"/>
      <c r="E44" s="1" t="n"/>
      <c r="F44" s="1" t="n"/>
      <c r="G44" s="1" t="n"/>
      <c r="H44" s="1" t="n"/>
      <c r="I44" s="1" t="n"/>
      <c r="J44" s="1" t="n"/>
      <c r="K44" s="1" t="n"/>
      <c r="L44" s="1" t="n"/>
    </row>
    <row r="45">
      <c r="A45" s="1" t="n"/>
      <c r="B45" s="1" t="n"/>
      <c r="C45" s="1" t="n"/>
      <c r="D45" s="1" t="n"/>
      <c r="E45" s="1" t="n"/>
      <c r="F45" s="1" t="n"/>
      <c r="G45" s="1" t="n"/>
      <c r="H45" s="1" t="n"/>
      <c r="I45" s="1" t="n"/>
      <c r="J45" s="1" t="n"/>
      <c r="K45" s="1" t="n"/>
      <c r="L45" s="1" t="n"/>
    </row>
    <row r="46">
      <c r="A46" s="1" t="n"/>
      <c r="B46" s="1" t="n"/>
      <c r="C46" s="1" t="n"/>
      <c r="D46" s="1" t="n"/>
      <c r="E46" s="1" t="n"/>
      <c r="F46" s="1" t="n"/>
      <c r="G46" s="1" t="n"/>
      <c r="H46" s="1" t="n"/>
      <c r="I46" s="1" t="n"/>
      <c r="J46" s="1" t="n"/>
      <c r="K46" s="1" t="n"/>
      <c r="L46" s="1" t="n"/>
    </row>
    <row r="47">
      <c r="A47" s="1" t="n"/>
      <c r="B47" s="1" t="n"/>
      <c r="C47" s="1" t="n"/>
      <c r="D47" s="1" t="n"/>
      <c r="E47" s="1" t="n"/>
      <c r="F47" s="1" t="n"/>
      <c r="G47" s="1" t="n"/>
      <c r="H47" s="1" t="n"/>
      <c r="I47" s="1" t="n"/>
      <c r="J47" s="1" t="n"/>
      <c r="K47" s="1" t="n"/>
      <c r="L47" s="1" t="n"/>
    </row>
    <row r="48">
      <c r="A48" s="1" t="n"/>
      <c r="B48" s="1" t="n"/>
      <c r="C48" s="1" t="n"/>
      <c r="D48" s="1" t="n"/>
      <c r="E48" s="1" t="n"/>
      <c r="F48" s="1" t="n"/>
      <c r="G48" s="1" t="n"/>
      <c r="H48" s="1" t="n"/>
      <c r="I48" s="1" t="n"/>
      <c r="J48" s="1" t="n"/>
      <c r="K48" s="1" t="n"/>
      <c r="L48" s="1" t="n"/>
    </row>
    <row r="49">
      <c r="A49" s="1" t="n"/>
      <c r="B49" s="1" t="n"/>
      <c r="C49" s="1" t="n"/>
      <c r="D49" s="1" t="n"/>
      <c r="E49" s="1" t="n"/>
      <c r="F49" s="1" t="n"/>
      <c r="G49" s="1" t="n"/>
      <c r="H49" s="1" t="n"/>
      <c r="I49" s="1" t="n"/>
      <c r="J49" s="1" t="n"/>
      <c r="K49" s="1" t="n"/>
      <c r="L49" s="1" t="n"/>
    </row>
    <row r="50">
      <c r="A50" s="1" t="n"/>
      <c r="B50" s="1" t="n"/>
      <c r="C50" s="1" t="n"/>
      <c r="D50" s="1" t="n"/>
      <c r="E50" s="1" t="n"/>
      <c r="F50" s="1" t="n"/>
      <c r="G50" s="1" t="n"/>
      <c r="H50" s="1" t="n"/>
      <c r="I50" s="1" t="n"/>
      <c r="J50" s="1" t="n"/>
      <c r="K50" s="1" t="n"/>
      <c r="L50" s="1" t="n"/>
    </row>
    <row r="51">
      <c r="A51" s="1" t="n"/>
      <c r="B51" s="1" t="n"/>
      <c r="C51" s="1" t="n"/>
      <c r="D51" s="1" t="n"/>
      <c r="E51" s="1" t="n"/>
      <c r="F51" s="1" t="n"/>
      <c r="G51" s="1" t="n"/>
      <c r="H51" s="1" t="n"/>
      <c r="I51" s="1" t="n"/>
      <c r="J51" s="1" t="n"/>
      <c r="K51" s="1" t="n"/>
      <c r="L51" s="1" t="n"/>
    </row>
    <row r="52">
      <c r="A52" s="1" t="n"/>
      <c r="B52" s="1" t="n"/>
      <c r="C52" s="1" t="n"/>
      <c r="D52" s="1" t="n"/>
      <c r="E52" s="1" t="n"/>
      <c r="F52" s="1" t="n"/>
      <c r="G52" s="1" t="n"/>
      <c r="H52" s="1" t="n"/>
      <c r="I52" s="1" t="n"/>
      <c r="J52" s="1" t="n"/>
      <c r="K52" s="1" t="n"/>
      <c r="L52" s="1" t="n"/>
    </row>
    <row r="53">
      <c r="A53" s="1" t="n"/>
      <c r="B53" s="1" t="n"/>
      <c r="C53" s="1" t="n"/>
      <c r="D53" s="1" t="n"/>
      <c r="E53" s="1" t="n"/>
      <c r="F53" s="1" t="n"/>
      <c r="G53" s="1" t="n"/>
      <c r="H53" s="1" t="n"/>
      <c r="I53" s="1" t="n"/>
      <c r="J53" s="1" t="n"/>
      <c r="K53" s="1" t="n"/>
      <c r="L53" s="1" t="n"/>
    </row>
    <row r="54">
      <c r="A54" s="1" t="n"/>
      <c r="B54" s="1" t="n"/>
      <c r="C54" s="1" t="n"/>
      <c r="D54" s="1" t="n"/>
      <c r="E54" s="1" t="n"/>
      <c r="F54" s="1" t="n"/>
      <c r="G54" s="1" t="n"/>
      <c r="H54" s="1" t="n"/>
      <c r="I54" s="1" t="n"/>
      <c r="J54" s="1" t="n"/>
      <c r="K54" s="1" t="n"/>
      <c r="L54" s="1" t="n"/>
    </row>
    <row r="55">
      <c r="A55" s="1" t="n"/>
      <c r="B55" s="1" t="n"/>
      <c r="C55" s="1" t="n"/>
      <c r="D55" s="1" t="n"/>
      <c r="E55" s="1" t="n"/>
      <c r="F55" s="1" t="n"/>
      <c r="G55" s="1" t="n"/>
      <c r="H55" s="1" t="n"/>
      <c r="I55" s="1" t="n"/>
      <c r="J55" s="1" t="n"/>
      <c r="K55" s="1" t="n"/>
      <c r="L55" s="1" t="n"/>
    </row>
    <row r="56">
      <c r="A56" s="1" t="n"/>
      <c r="B56" s="1" t="n"/>
      <c r="C56" s="1" t="n"/>
      <c r="D56" s="1" t="n"/>
      <c r="E56" s="1" t="n"/>
      <c r="F56" s="1" t="n"/>
      <c r="G56" s="1" t="n"/>
      <c r="H56" s="1" t="n"/>
      <c r="I56" s="1" t="n"/>
      <c r="J56" s="1" t="n"/>
      <c r="K56" s="1" t="n"/>
      <c r="L56" s="1" t="n"/>
    </row>
    <row r="57">
      <c r="A57" s="1" t="n"/>
      <c r="B57" s="1" t="n"/>
      <c r="C57" s="1" t="n"/>
      <c r="D57" s="1" t="n"/>
      <c r="E57" s="1" t="n"/>
      <c r="F57" s="1" t="n"/>
      <c r="G57" s="1" t="n"/>
      <c r="H57" s="1" t="n"/>
      <c r="I57" s="1" t="n"/>
      <c r="J57" s="1" t="n"/>
      <c r="K57" s="1" t="n"/>
      <c r="L57" s="1" t="n"/>
    </row>
    <row r="58">
      <c r="A58" s="1" t="n"/>
      <c r="B58" s="1" t="n"/>
      <c r="C58" s="1" t="n"/>
      <c r="D58" s="1" t="n"/>
      <c r="E58" s="1" t="n"/>
      <c r="F58" s="1" t="n"/>
      <c r="G58" s="1" t="n"/>
      <c r="H58" s="1" t="n"/>
      <c r="I58" s="1" t="n"/>
      <c r="J58" s="1" t="n"/>
      <c r="K58" s="1" t="n"/>
      <c r="L58" s="1" t="n"/>
    </row>
    <row r="59">
      <c r="A59" s="1" t="n"/>
      <c r="B59" s="1" t="n"/>
      <c r="C59" s="1" t="n"/>
      <c r="D59" s="1" t="n"/>
      <c r="E59" s="1" t="n"/>
      <c r="F59" s="1" t="n"/>
      <c r="G59" s="1" t="n"/>
      <c r="H59" s="1" t="n"/>
      <c r="I59" s="1" t="n"/>
      <c r="J59" s="1" t="n"/>
      <c r="K59" s="1" t="n"/>
      <c r="L59" s="1" t="n"/>
    </row>
    <row r="60">
      <c r="A60" s="1" t="n"/>
      <c r="B60" s="1" t="n"/>
      <c r="C60" s="1" t="n"/>
      <c r="D60" s="1" t="n"/>
      <c r="E60" s="1" t="n"/>
      <c r="F60" s="1" t="n"/>
      <c r="G60" s="1" t="n"/>
      <c r="H60" s="1" t="n"/>
      <c r="I60" s="1" t="n"/>
      <c r="J60" s="1" t="n"/>
      <c r="K60" s="1" t="n"/>
      <c r="L60" s="1" t="n"/>
    </row>
    <row r="61">
      <c r="A61" s="1" t="n"/>
      <c r="B61" s="1" t="n"/>
      <c r="C61" s="1" t="n"/>
      <c r="D61" s="1" t="n"/>
      <c r="E61" s="1" t="n"/>
      <c r="F61" s="1" t="n"/>
      <c r="G61" s="1" t="n"/>
      <c r="H61" s="1" t="n"/>
      <c r="I61" s="1" t="n"/>
      <c r="J61" s="1" t="n"/>
      <c r="K61" s="1" t="n"/>
      <c r="L61" s="1" t="n"/>
    </row>
    <row r="62">
      <c r="A62" s="1" t="n"/>
      <c r="B62" s="1" t="n"/>
      <c r="C62" s="1" t="n"/>
      <c r="D62" s="1" t="n"/>
      <c r="E62" s="1" t="n"/>
      <c r="F62" s="1" t="n"/>
      <c r="G62" s="1" t="n"/>
      <c r="H62" s="1" t="n"/>
      <c r="I62" s="1" t="n"/>
      <c r="J62" s="1" t="n"/>
      <c r="K62" s="1" t="n"/>
      <c r="L62" s="1" t="n"/>
    </row>
    <row r="63">
      <c r="A63" s="1" t="n"/>
      <c r="B63" s="1" t="n"/>
      <c r="C63" s="1" t="n"/>
      <c r="D63" s="1" t="n"/>
      <c r="E63" s="1" t="n"/>
      <c r="F63" s="1" t="n"/>
      <c r="G63" s="1" t="n"/>
      <c r="H63" s="1" t="n"/>
      <c r="I63" s="1" t="n"/>
      <c r="J63" s="1" t="n"/>
      <c r="K63" s="1" t="n"/>
      <c r="L63" s="1" t="n"/>
    </row>
    <row r="64">
      <c r="A64" s="1" t="n"/>
      <c r="B64" s="1" t="n"/>
      <c r="C64" s="1" t="n"/>
      <c r="D64" s="1" t="n"/>
      <c r="E64" s="1" t="n"/>
      <c r="F64" s="1" t="n"/>
      <c r="G64" s="1" t="n"/>
      <c r="H64" s="1" t="n"/>
      <c r="I64" s="1" t="n"/>
      <c r="J64" s="1" t="n"/>
      <c r="K64" s="1" t="n"/>
      <c r="L64" s="1" t="n"/>
    </row>
    <row r="65">
      <c r="A65" s="1" t="n"/>
      <c r="B65" s="1" t="n"/>
      <c r="C65" s="1" t="n"/>
      <c r="D65" s="1" t="n"/>
      <c r="E65" s="1" t="n"/>
      <c r="F65" s="1" t="n"/>
      <c r="G65" s="1" t="n"/>
      <c r="H65" s="1" t="n"/>
      <c r="I65" s="1" t="n"/>
      <c r="J65" s="1" t="n"/>
      <c r="K65" s="1" t="n"/>
      <c r="L65" s="1" t="n"/>
    </row>
    <row r="66">
      <c r="A66" s="1" t="n"/>
      <c r="B66" s="1" t="n"/>
      <c r="C66" s="1" t="n"/>
      <c r="D66" s="1" t="n"/>
      <c r="E66" s="1" t="n"/>
      <c r="F66" s="1" t="n"/>
      <c r="G66" s="1" t="n"/>
      <c r="H66" s="1" t="n"/>
      <c r="I66" s="1" t="n"/>
      <c r="J66" s="1" t="n"/>
      <c r="K66" s="1" t="n"/>
      <c r="L66" s="1" t="n"/>
    </row>
    <row r="67">
      <c r="A67" s="1" t="n"/>
      <c r="B67" s="1" t="n"/>
      <c r="C67" s="1" t="n"/>
      <c r="D67" s="1" t="n"/>
      <c r="E67" s="1" t="n"/>
      <c r="F67" s="1" t="n"/>
      <c r="G67" s="1" t="n"/>
      <c r="H67" s="1" t="n"/>
      <c r="I67" s="1" t="n"/>
      <c r="J67" s="1" t="n"/>
      <c r="K67" s="1" t="n"/>
      <c r="L67" s="1" t="n"/>
    </row>
    <row r="68">
      <c r="A68" s="1" t="n"/>
      <c r="B68" s="1" t="n"/>
      <c r="C68" s="1" t="n"/>
      <c r="D68" s="1" t="n"/>
      <c r="E68" s="1" t="n"/>
      <c r="F68" s="1" t="n"/>
      <c r="G68" s="1" t="n"/>
      <c r="H68" s="1" t="n"/>
      <c r="I68" s="1" t="n"/>
      <c r="J68" s="1" t="n"/>
      <c r="K68" s="1" t="n"/>
      <c r="L68" s="1" t="n"/>
    </row>
    <row r="69">
      <c r="A69" s="1" t="n"/>
      <c r="B69" s="1" t="n"/>
      <c r="C69" s="1" t="n"/>
      <c r="D69" s="1" t="n"/>
      <c r="E69" s="1" t="n"/>
      <c r="F69" s="1" t="n"/>
      <c r="G69" s="1" t="n"/>
      <c r="H69" s="1" t="n"/>
      <c r="I69" s="1" t="n"/>
      <c r="J69" s="1" t="n"/>
      <c r="K69" s="1" t="n"/>
      <c r="L69" s="1" t="n"/>
    </row>
    <row r="70">
      <c r="A70" s="1" t="n"/>
      <c r="B70" s="1" t="n"/>
      <c r="C70" s="1" t="n"/>
      <c r="D70" s="1" t="n"/>
      <c r="E70" s="1" t="n"/>
      <c r="F70" s="1" t="n"/>
      <c r="G70" s="1" t="n"/>
      <c r="H70" s="1" t="n"/>
      <c r="I70" s="1" t="n"/>
      <c r="J70" s="1" t="n"/>
      <c r="K70" s="1" t="n"/>
      <c r="L70" s="1" t="n"/>
    </row>
    <row r="71">
      <c r="A71" s="1" t="n"/>
      <c r="B71" s="1" t="n"/>
      <c r="C71" s="1" t="n"/>
      <c r="D71" s="1" t="n"/>
      <c r="E71" s="1" t="n"/>
      <c r="F71" s="1" t="n"/>
      <c r="G71" s="1" t="n"/>
      <c r="H71" s="1" t="n"/>
      <c r="I71" s="1" t="n"/>
      <c r="J71" s="1" t="n"/>
      <c r="K71" s="1" t="n"/>
      <c r="L71" s="1" t="n"/>
    </row>
    <row r="72">
      <c r="A72" s="1" t="n"/>
      <c r="B72" s="1" t="n"/>
      <c r="C72" s="1" t="n"/>
      <c r="D72" s="1" t="n"/>
      <c r="E72" s="1" t="n"/>
      <c r="F72" s="1" t="n"/>
      <c r="G72" s="1" t="n"/>
      <c r="H72" s="1" t="n"/>
      <c r="I72" s="1" t="n"/>
      <c r="J72" s="1" t="n"/>
      <c r="K72" s="1" t="n"/>
      <c r="L72" s="1" t="n"/>
    </row>
    <row r="73">
      <c r="A73" s="1" t="n"/>
      <c r="B73" s="1" t="n"/>
      <c r="C73" s="1" t="n"/>
      <c r="D73" s="1" t="n"/>
      <c r="E73" s="1" t="n"/>
      <c r="F73" s="1" t="n"/>
      <c r="G73" s="1" t="n"/>
      <c r="H73" s="1" t="n"/>
      <c r="I73" s="1" t="n"/>
      <c r="J73" s="1" t="n"/>
      <c r="K73" s="1" t="n"/>
      <c r="L73" s="1" t="n"/>
    </row>
    <row r="74">
      <c r="A74" s="1" t="n"/>
      <c r="B74" s="1" t="n"/>
      <c r="C74" s="1" t="n"/>
      <c r="D74" s="1" t="n"/>
      <c r="E74" s="1" t="n"/>
      <c r="F74" s="1" t="n"/>
      <c r="G74" s="1" t="n"/>
      <c r="H74" s="1" t="n"/>
      <c r="I74" s="1" t="n"/>
      <c r="J74" s="1" t="n"/>
      <c r="K74" s="1" t="n"/>
      <c r="L74" s="1" t="n"/>
    </row>
    <row r="75">
      <c r="A75" s="1" t="n"/>
      <c r="B75" s="1" t="n"/>
      <c r="C75" s="1" t="n"/>
      <c r="D75" s="1" t="n"/>
      <c r="E75" s="1" t="n"/>
      <c r="F75" s="1" t="n"/>
      <c r="G75" s="1" t="n"/>
      <c r="H75" s="1" t="n"/>
      <c r="I75" s="1" t="n"/>
      <c r="J75" s="1" t="n"/>
      <c r="K75" s="1" t="n"/>
      <c r="L75" s="1" t="n"/>
    </row>
    <row r="76">
      <c r="A76" s="1" t="n"/>
      <c r="B76" s="1" t="n"/>
      <c r="C76" s="1" t="n"/>
      <c r="D76" s="1" t="n"/>
      <c r="E76" s="1" t="n"/>
      <c r="F76" s="1" t="n"/>
      <c r="G76" s="1" t="n"/>
      <c r="H76" s="1" t="n"/>
      <c r="I76" s="1" t="n"/>
      <c r="J76" s="1" t="n"/>
      <c r="K76" s="1" t="n"/>
      <c r="L76" s="1" t="n"/>
    </row>
    <row r="77">
      <c r="A77" s="1" t="n"/>
      <c r="B77" s="1" t="n"/>
      <c r="C77" s="1" t="n"/>
      <c r="D77" s="1" t="n"/>
      <c r="E77" s="1" t="n"/>
      <c r="F77" s="1" t="n"/>
      <c r="G77" s="1" t="n"/>
      <c r="H77" s="1" t="n"/>
      <c r="I77" s="1" t="n"/>
      <c r="J77" s="1" t="n"/>
      <c r="K77" s="1" t="n"/>
      <c r="L77" s="1" t="n"/>
    </row>
    <row r="78">
      <c r="A78" s="1" t="n"/>
      <c r="B78" s="1" t="n"/>
      <c r="C78" s="1" t="n"/>
      <c r="D78" s="1" t="n"/>
      <c r="E78" s="1" t="n"/>
      <c r="F78" s="1" t="n"/>
      <c r="G78" s="1" t="n"/>
      <c r="H78" s="1" t="n"/>
      <c r="I78" s="1" t="n"/>
      <c r="J78" s="1" t="n"/>
      <c r="K78" s="1" t="n"/>
      <c r="L78" s="1" t="n"/>
    </row>
    <row r="79">
      <c r="A79" s="1" t="n"/>
      <c r="B79" s="1" t="n"/>
      <c r="C79" s="1" t="n"/>
      <c r="D79" s="1" t="n"/>
      <c r="E79" s="1" t="n"/>
      <c r="F79" s="1" t="n"/>
      <c r="G79" s="1" t="n"/>
      <c r="H79" s="1" t="n"/>
      <c r="I79" s="1" t="n"/>
      <c r="J79" s="1" t="n"/>
      <c r="K79" s="1" t="n"/>
      <c r="L79" s="1" t="n"/>
    </row>
    <row r="80">
      <c r="A80" s="1" t="n"/>
      <c r="B80" s="1" t="n"/>
      <c r="C80" s="1" t="n"/>
      <c r="D80" s="1" t="n"/>
      <c r="E80" s="1" t="n"/>
      <c r="F80" s="1" t="n"/>
      <c r="G80" s="1" t="n"/>
      <c r="H80" s="1" t="n"/>
      <c r="I80" s="1" t="n"/>
      <c r="J80" s="1" t="n"/>
      <c r="K80" s="1" t="n"/>
      <c r="L80" s="1" t="n"/>
    </row>
    <row r="81">
      <c r="A81" s="1" t="n"/>
      <c r="B81" s="1" t="n"/>
      <c r="C81" s="1" t="n"/>
      <c r="D81" s="1" t="n"/>
      <c r="E81" s="1" t="n"/>
      <c r="F81" s="1" t="n"/>
      <c r="G81" s="1" t="n"/>
      <c r="H81" s="1" t="n"/>
      <c r="I81" s="1" t="n"/>
      <c r="J81" s="1" t="n"/>
      <c r="K81" s="1" t="n"/>
      <c r="L81" s="1" t="n"/>
    </row>
    <row r="82">
      <c r="A82" s="1" t="n"/>
      <c r="B82" s="1" t="n"/>
      <c r="C82" s="1" t="n"/>
      <c r="D82" s="1" t="n"/>
      <c r="E82" s="1" t="n"/>
      <c r="F82" s="1" t="n"/>
      <c r="G82" s="1" t="n"/>
      <c r="H82" s="1" t="n"/>
      <c r="I82" s="1" t="n"/>
      <c r="J82" s="1" t="n"/>
      <c r="K82" s="1" t="n"/>
      <c r="L82" s="1" t="n"/>
    </row>
    <row r="83">
      <c r="A83" s="1" t="n"/>
      <c r="B83" s="1" t="n"/>
      <c r="C83" s="1" t="n"/>
      <c r="D83" s="1" t="n"/>
      <c r="E83" s="1" t="n"/>
      <c r="F83" s="1" t="n"/>
      <c r="G83" s="1" t="n"/>
      <c r="H83" s="1" t="n"/>
      <c r="I83" s="1" t="n"/>
      <c r="J83" s="1" t="n"/>
      <c r="K83" s="1" t="n"/>
      <c r="L83" s="1" t="n"/>
    </row>
    <row r="84">
      <c r="A84" s="1" t="n"/>
      <c r="B84" s="1" t="n"/>
      <c r="C84" s="1" t="n"/>
      <c r="D84" s="1" t="n"/>
      <c r="E84" s="1" t="n"/>
      <c r="F84" s="1" t="n"/>
      <c r="G84" s="1" t="n"/>
      <c r="H84" s="1" t="n"/>
      <c r="I84" s="1" t="n"/>
      <c r="J84" s="1" t="n"/>
      <c r="K84" s="1" t="n"/>
      <c r="L84" s="1" t="n"/>
    </row>
    <row r="85">
      <c r="A85" s="1" t="n"/>
      <c r="B85" s="1" t="n"/>
      <c r="C85" s="1" t="n"/>
      <c r="D85" s="1" t="n"/>
      <c r="E85" s="1" t="n"/>
      <c r="F85" s="1" t="n"/>
      <c r="G85" s="1" t="n"/>
      <c r="H85" s="1" t="n"/>
      <c r="I85" s="1" t="n"/>
      <c r="J85" s="1" t="n"/>
      <c r="K85" s="1" t="n"/>
      <c r="L85" s="1" t="n"/>
    </row>
    <row r="86">
      <c r="A86" s="1" t="n"/>
      <c r="B86" s="1" t="n"/>
      <c r="C86" s="1" t="n"/>
      <c r="D86" s="1" t="n"/>
      <c r="E86" s="1" t="n"/>
      <c r="F86" s="1" t="n"/>
      <c r="G86" s="1" t="n"/>
      <c r="H86" s="1" t="n"/>
      <c r="I86" s="1" t="n"/>
      <c r="J86" s="1" t="n"/>
      <c r="K86" s="1" t="n"/>
      <c r="L86" s="1" t="n"/>
    </row>
    <row r="87">
      <c r="A87" s="1" t="n"/>
      <c r="B87" s="1" t="n"/>
      <c r="C87" s="1" t="n"/>
      <c r="D87" s="1" t="n"/>
      <c r="E87" s="1" t="n"/>
      <c r="F87" s="1" t="n"/>
      <c r="G87" s="1" t="n"/>
      <c r="H87" s="1" t="n"/>
      <c r="I87" s="1" t="n"/>
      <c r="J87" s="1" t="n"/>
      <c r="K87" s="1" t="n"/>
      <c r="L87" s="1" t="n"/>
    </row>
    <row r="88">
      <c r="A88" s="1" t="n"/>
      <c r="B88" s="1" t="n"/>
      <c r="C88" s="1" t="n"/>
      <c r="D88" s="1" t="n"/>
      <c r="E88" s="1" t="n"/>
      <c r="F88" s="1" t="n"/>
      <c r="G88" s="1" t="n"/>
      <c r="H88" s="1" t="n"/>
      <c r="I88" s="1" t="n"/>
      <c r="J88" s="1" t="n"/>
      <c r="K88" s="1" t="n"/>
      <c r="L88" s="1" t="n"/>
    </row>
    <row r="89">
      <c r="A89" s="1" t="n"/>
      <c r="B89" s="1" t="n"/>
      <c r="C89" s="1" t="n"/>
      <c r="D89" s="1" t="n"/>
      <c r="E89" s="1" t="n"/>
      <c r="F89" s="1" t="n"/>
      <c r="G89" s="1" t="n"/>
      <c r="H89" s="1" t="n"/>
      <c r="I89" s="1" t="n"/>
      <c r="J89" s="1" t="n"/>
      <c r="K89" s="1" t="n"/>
      <c r="L89" s="1" t="n"/>
    </row>
    <row r="90">
      <c r="A90" s="1" t="n"/>
      <c r="B90" s="1" t="n"/>
      <c r="C90" s="1" t="n"/>
      <c r="D90" s="1" t="n"/>
      <c r="E90" s="1" t="n"/>
      <c r="F90" s="1" t="n"/>
      <c r="G90" s="1" t="n"/>
      <c r="H90" s="1" t="n"/>
      <c r="I90" s="1" t="n"/>
      <c r="J90" s="1" t="n"/>
      <c r="K90" s="1" t="n"/>
      <c r="L90" s="1" t="n"/>
    </row>
    <row r="91">
      <c r="A91" s="1" t="n"/>
      <c r="B91" s="1" t="n"/>
      <c r="C91" s="1" t="n"/>
      <c r="D91" s="1" t="n"/>
      <c r="E91" s="1" t="n"/>
      <c r="F91" s="1" t="n"/>
      <c r="G91" s="1" t="n"/>
      <c r="H91" s="1" t="n"/>
      <c r="I91" s="1" t="n"/>
      <c r="J91" s="1" t="n"/>
      <c r="K91" s="1" t="n"/>
      <c r="L91" s="1" t="n"/>
    </row>
    <row r="92">
      <c r="A92" s="1" t="n"/>
      <c r="B92" s="1" t="n"/>
      <c r="C92" s="1" t="n"/>
      <c r="D92" s="1" t="n"/>
      <c r="E92" s="1" t="n"/>
      <c r="F92" s="1" t="n"/>
      <c r="G92" s="1" t="n"/>
      <c r="H92" s="1" t="n"/>
      <c r="I92" s="1" t="n"/>
      <c r="J92" s="1" t="n"/>
      <c r="K92" s="1" t="n"/>
      <c r="L92" s="1" t="n"/>
    </row>
    <row r="93">
      <c r="A93" s="1" t="n"/>
      <c r="B93" s="1" t="n"/>
      <c r="C93" s="1" t="n"/>
      <c r="D93" s="1" t="n"/>
      <c r="E93" s="1" t="n"/>
      <c r="F93" s="1" t="n"/>
      <c r="G93" s="1" t="n"/>
      <c r="H93" s="1" t="n"/>
      <c r="I93" s="1" t="n"/>
      <c r="J93" s="1" t="n"/>
      <c r="K93" s="1" t="n"/>
      <c r="L93" s="1" t="n"/>
    </row>
    <row r="94">
      <c r="A94" s="1" t="n"/>
      <c r="B94" s="1" t="n"/>
      <c r="C94" s="1" t="n"/>
      <c r="D94" s="1" t="n"/>
      <c r="E94" s="1" t="n"/>
      <c r="F94" s="1" t="n"/>
      <c r="G94" s="1" t="n"/>
      <c r="H94" s="1" t="n"/>
      <c r="I94" s="1" t="n"/>
      <c r="J94" s="1" t="n"/>
      <c r="K94" s="1" t="n"/>
      <c r="L94" s="1" t="n"/>
    </row>
    <row r="95">
      <c r="A95" s="1" t="n"/>
      <c r="B95" s="1" t="n"/>
      <c r="C95" s="1" t="n"/>
      <c r="D95" s="1" t="n"/>
      <c r="E95" s="1" t="n"/>
      <c r="F95" s="1" t="n"/>
      <c r="G95" s="1" t="n"/>
      <c r="H95" s="1" t="n"/>
      <c r="I95" s="1" t="n"/>
      <c r="J95" s="1" t="n"/>
      <c r="K95" s="1" t="n"/>
      <c r="L95" s="1" t="n"/>
    </row>
    <row r="96">
      <c r="A96" s="1" t="n"/>
      <c r="B96" s="1" t="n"/>
      <c r="C96" s="1" t="n"/>
      <c r="D96" s="1" t="n"/>
      <c r="E96" s="1" t="n"/>
      <c r="F96" s="1" t="n"/>
      <c r="G96" s="1" t="n"/>
      <c r="H96" s="1" t="n"/>
      <c r="I96" s="1" t="n"/>
      <c r="J96" s="1" t="n"/>
      <c r="K96" s="1" t="n"/>
      <c r="L96" s="1" t="n"/>
    </row>
    <row r="97">
      <c r="A97" s="1" t="n"/>
      <c r="B97" s="1" t="n"/>
      <c r="C97" s="1" t="n"/>
      <c r="D97" s="1" t="n"/>
      <c r="E97" s="1" t="n"/>
      <c r="F97" s="1" t="n"/>
      <c r="G97" s="1" t="n"/>
      <c r="H97" s="1" t="n"/>
      <c r="I97" s="1" t="n"/>
      <c r="J97" s="1" t="n"/>
      <c r="K97" s="1" t="n"/>
      <c r="L97" s="1" t="n"/>
    </row>
    <row r="98">
      <c r="A98" s="1" t="n"/>
      <c r="B98" s="1" t="n"/>
      <c r="C98" s="1" t="n"/>
      <c r="D98" s="1" t="n"/>
      <c r="E98" s="1" t="n"/>
      <c r="F98" s="1" t="n"/>
      <c r="G98" s="1" t="n"/>
      <c r="H98" s="1" t="n"/>
      <c r="I98" s="1" t="n"/>
      <c r="J98" s="1" t="n"/>
      <c r="K98" s="1" t="n"/>
      <c r="L98" s="1" t="n"/>
    </row>
    <row r="99">
      <c r="A99" s="1" t="n"/>
      <c r="B99" s="1" t="n"/>
      <c r="C99" s="1" t="n"/>
      <c r="D99" s="1" t="n"/>
      <c r="E99" s="1" t="n"/>
      <c r="F99" s="1" t="n"/>
      <c r="G99" s="1" t="n"/>
      <c r="H99" s="1" t="n"/>
      <c r="I99" s="1" t="n"/>
      <c r="J99" s="1" t="n"/>
      <c r="K99" s="1" t="n"/>
      <c r="L99" s="1" t="n"/>
    </row>
  </sheetData>
  <mergeCells count="5">
    <mergeCell ref="B1:K1"/>
    <mergeCell ref="B4:K4"/>
    <mergeCell ref="A4:A21"/>
    <mergeCell ref="B7:K7"/>
    <mergeCell ref="B2:K2"/>
  </mergeCells>
  <conditionalFormatting sqref="I4:I100">
    <cfRule type="cellIs" priority="1" operator="equal" dxfId="11">
      <formula>"Pendente"</formula>
    </cfRule>
    <cfRule type="cellIs" priority="2" operator="equal" dxfId="10">
      <formula>"Recebido"</formula>
    </cfRule>
  </conditionalFormatting>
  <dataValidations count="1">
    <dataValidation sqref="J4:J500" showDropDown="0" showInputMessage="0" showErrorMessage="0" allowBlank="1" type="list">
      <formula1>"Pendente,Cobrado 1x,Cobrado 2x,Cobrado 3x,+4 Cobranças,Recebido,Cancelado"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Planilha4">
    <tabColor rgb="FF3A6186"/>
    <outlinePr summaryBelow="1" summaryRight="1"/>
    <pageSetUpPr/>
  </sheetPr>
  <dimension ref="A1:I59"/>
  <sheetViews>
    <sheetView showGridLines="0" zoomScale="125" workbookViewId="0">
      <pane xSplit="1" ySplit="3" topLeftCell="B4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10" defaultColWidth="8.83203125" defaultRowHeight="15"/>
  <cols>
    <col width="3" customWidth="1" style="110" min="1" max="1"/>
    <col width="26" customWidth="1" style="110" min="2" max="2"/>
    <col width="14" customWidth="1" style="110" min="3" max="3"/>
    <col width="28" customWidth="1" style="110" min="4" max="4"/>
    <col width="22" customWidth="1" style="110" min="5" max="6"/>
    <col width="30" customWidth="1" style="110" min="7" max="8"/>
    <col width="45" customWidth="1" style="110" min="9" max="9"/>
  </cols>
  <sheetData>
    <row r="1" ht="40" customHeight="1" s="110">
      <c r="A1" s="1" t="n"/>
      <c r="B1" s="145" t="inlineStr">
        <is>
          <t xml:space="preserve">  📝 REPORT — RESUMO EXECUTIVO DOS PROJETOS TP</t>
        </is>
      </c>
    </row>
    <row r="2" ht="20" customHeight="1" s="110">
      <c r="A2" s="1" t="n"/>
      <c r="B2" s="146" t="inlineStr">
        <is>
          <t xml:space="preserve">  Para elaborar relatórios e apresentações — dados chave por projeto</t>
        </is>
      </c>
    </row>
    <row r="3" ht="44" customHeight="1" s="110">
      <c r="A3" s="1" t="n"/>
      <c r="B3" s="11" t="inlineStr">
        <is>
          <t>Cliente</t>
        </is>
      </c>
      <c r="C3" s="11" t="inlineStr">
        <is>
          <t>GTB</t>
        </is>
      </c>
      <c r="D3" s="11" t="inlineStr">
        <is>
          <t>Transações Analisadas</t>
        </is>
      </c>
      <c r="E3" s="11" t="inlineStr">
        <is>
          <t>Método Aplicado</t>
        </is>
      </c>
      <c r="F3" s="11" t="inlineStr">
        <is>
          <t>Indicador Rentabilidade</t>
        </is>
      </c>
      <c r="G3" s="11" t="inlineStr">
        <is>
          <t>Comparáveis Ano Anterior</t>
        </is>
      </c>
      <c r="H3" s="11" t="inlineStr">
        <is>
          <t>Comparáveis Ano Atual</t>
        </is>
      </c>
      <c r="I3" s="11" t="inlineStr">
        <is>
          <t>Comentários / Exclusões</t>
        </is>
      </c>
    </row>
    <row r="4" ht="55" customHeight="1" s="110">
      <c r="A4" s="1" t="n"/>
      <c r="B4" s="30" t="inlineStr">
        <is>
          <t>Dorf Ketal FY25</t>
        </is>
      </c>
      <c r="C4" s="31" t="inlineStr">
        <is>
          <t>GTB50612</t>
        </is>
      </c>
      <c r="D4" s="24" t="inlineStr">
        <is>
          <t>Importação de químicos especializados (R$ 18,5M) | Royalties (R$ 2,1M) | Management Fees (R$ 850K)</t>
        </is>
      </c>
      <c r="E4" s="24" t="inlineStr">
        <is>
          <t>PRL 20% (importações) | TNMM-MLu (royalties e serviços)</t>
        </is>
      </c>
      <c r="F4" s="24" t="inlineStr">
        <is>
          <t>Margem Líquida (MLu) | Berry Ratio</t>
        </is>
      </c>
      <c r="G4" s="24" t="inlineStr">
        <is>
          <t>23 empresas — BACH 2023 | IQR: 3,2% – 8,7%</t>
        </is>
      </c>
      <c r="H4" s="24" t="inlineStr">
        <is>
          <t>23 empresas — BACH 2024 | IQR: 3,4% – 9,1%</t>
        </is>
      </c>
      <c r="I4" s="24" t="inlineStr">
        <is>
          <t>Seleção 2024 manteve critérios anteriores. 0 exclusões — set de comparáveis estável.</t>
        </is>
      </c>
    </row>
    <row r="5" ht="55" customHeight="1" s="110">
      <c r="A5" s="1" t="n"/>
      <c r="B5" s="32" t="inlineStr">
        <is>
          <t>BMW FY26</t>
        </is>
      </c>
      <c r="C5" s="33" t="inlineStr">
        <is>
          <t>GTB55638</t>
        </is>
      </c>
      <c r="D5" s="20" t="inlineStr">
        <is>
          <t>Importação CKD (a confirmar) | Royalties de marca | Serviços de engenharia</t>
        </is>
      </c>
      <c r="E5" s="20" t="inlineStr">
        <is>
          <t>A definir — PCI ou TNMM (em discussão com sócio)</t>
        </is>
      </c>
      <c r="F5" s="20" t="inlineStr">
        <is>
          <t>A definir conforme método selecionado</t>
        </is>
      </c>
      <c r="G5" s="20" t="inlineStr">
        <is>
          <t>N/A — projeto FY26 em fase inicial</t>
        </is>
      </c>
      <c r="H5" s="20" t="inlineStr">
        <is>
          <t>N/A — benchmarking a realizar em 2026/2027</t>
        </is>
      </c>
      <c r="I5" s="20" t="inlineStr">
        <is>
          <t>Metodologia CKD pendente de decisão com sócio. Impacto significativo na análise.</t>
        </is>
      </c>
    </row>
    <row r="6" ht="55" customHeight="1" s="110">
      <c r="A6" s="1" t="n"/>
      <c r="B6" s="30" t="inlineStr">
        <is>
          <t>AD Instruments FY25</t>
        </is>
      </c>
      <c r="C6" s="31" t="inlineStr">
        <is>
          <t>GTB60949</t>
        </is>
      </c>
      <c r="D6" s="24" t="inlineStr">
        <is>
          <t>Importação de equipamentos laboratoriais (analisadores de dados)</t>
        </is>
      </c>
      <c r="E6" s="24" t="inlineStr">
        <is>
          <t>PRL 20% — único método aplicável</t>
        </is>
      </c>
      <c r="F6" s="24" t="inlineStr">
        <is>
          <t>Margem Bruta</t>
        </is>
      </c>
      <c r="G6" s="24" t="inlineStr">
        <is>
          <t>N/A — método baseado em preço</t>
        </is>
      </c>
      <c r="H6" s="24" t="inlineStr">
        <is>
          <t>N/A — método baseado em preço</t>
        </is>
      </c>
      <c r="I6" s="24" t="inlineStr">
        <is>
          <t>Método PRL 20% conforme IN 1312/2012. Comparáveis não aplicáveis.</t>
        </is>
      </c>
    </row>
    <row r="7" ht="22" customHeight="1" s="110">
      <c r="A7" s="1" t="n"/>
      <c r="B7" s="28" t="n"/>
      <c r="C7" s="28" t="n"/>
      <c r="D7" s="28" t="n"/>
      <c r="E7" s="28" t="n"/>
      <c r="F7" s="28" t="n"/>
      <c r="G7" s="28" t="n"/>
      <c r="H7" s="28" t="n"/>
      <c r="I7" s="28" t="n"/>
    </row>
    <row r="8" ht="22" customHeight="1" s="110">
      <c r="A8" s="1" t="n"/>
      <c r="B8" s="29" t="n"/>
      <c r="C8" s="29" t="n"/>
      <c r="D8" s="29" t="n"/>
      <c r="E8" s="29" t="n"/>
      <c r="F8" s="29" t="n"/>
      <c r="G8" s="29" t="n"/>
      <c r="H8" s="29" t="n"/>
      <c r="I8" s="29" t="n"/>
    </row>
    <row r="9" ht="22" customHeight="1" s="110">
      <c r="A9" s="1" t="n"/>
      <c r="B9" s="28" t="n"/>
      <c r="C9" s="28" t="n"/>
      <c r="D9" s="28" t="n"/>
      <c r="E9" s="28" t="n"/>
      <c r="F9" s="28" t="n"/>
      <c r="G9" s="28" t="n"/>
      <c r="H9" s="28" t="n"/>
      <c r="I9" s="28" t="n"/>
    </row>
    <row r="10" ht="22" customHeight="1" s="110">
      <c r="A10" s="1" t="n"/>
      <c r="B10" s="29" t="n"/>
      <c r="C10" s="29" t="n"/>
      <c r="D10" s="29" t="n"/>
      <c r="E10" s="29" t="n"/>
      <c r="F10" s="29" t="n"/>
      <c r="G10" s="29" t="n"/>
      <c r="H10" s="29" t="n"/>
      <c r="I10" s="29" t="n"/>
    </row>
    <row r="11" ht="22" customHeight="1" s="110">
      <c r="A11" s="1" t="n"/>
      <c r="B11" s="28" t="n"/>
      <c r="C11" s="28" t="n"/>
      <c r="D11" s="28" t="n"/>
      <c r="E11" s="28" t="n"/>
      <c r="F11" s="28" t="n"/>
      <c r="G11" s="28" t="n"/>
      <c r="H11" s="28" t="n"/>
      <c r="I11" s="28" t="n"/>
    </row>
    <row r="12" ht="22" customHeight="1" s="110">
      <c r="A12" s="1" t="n"/>
      <c r="B12" s="29" t="n"/>
      <c r="C12" s="29" t="n"/>
      <c r="D12" s="29" t="n"/>
      <c r="E12" s="29" t="n"/>
      <c r="F12" s="29" t="n"/>
      <c r="G12" s="29" t="n"/>
      <c r="H12" s="29" t="n"/>
      <c r="I12" s="29" t="n"/>
    </row>
    <row r="13" ht="22" customHeight="1" s="110">
      <c r="A13" s="1" t="n"/>
      <c r="B13" s="28" t="n"/>
      <c r="C13" s="28" t="n"/>
      <c r="D13" s="28" t="n"/>
      <c r="E13" s="28" t="n"/>
      <c r="F13" s="28" t="n"/>
      <c r="G13" s="28" t="n"/>
      <c r="H13" s="28" t="n"/>
      <c r="I13" s="28" t="n"/>
    </row>
    <row r="14" ht="22" customHeight="1" s="110">
      <c r="A14" s="1" t="n"/>
      <c r="B14" s="29" t="n"/>
      <c r="C14" s="29" t="n"/>
      <c r="D14" s="29" t="n"/>
      <c r="E14" s="29" t="n"/>
      <c r="F14" s="29" t="n"/>
      <c r="G14" s="29" t="n"/>
      <c r="H14" s="29" t="n"/>
      <c r="I14" s="29" t="n"/>
    </row>
    <row r="15" ht="22" customHeight="1" s="110">
      <c r="A15" s="1" t="n"/>
      <c r="B15" s="28" t="n"/>
      <c r="C15" s="28" t="n"/>
      <c r="D15" s="28" t="n"/>
      <c r="E15" s="28" t="n"/>
      <c r="F15" s="28" t="n"/>
      <c r="G15" s="28" t="n"/>
      <c r="H15" s="28" t="n"/>
      <c r="I15" s="28" t="n"/>
    </row>
    <row r="16" ht="22" customHeight="1" s="110">
      <c r="A16" s="1" t="n"/>
      <c r="B16" s="29" t="n"/>
      <c r="C16" s="29" t="n"/>
      <c r="D16" s="29" t="n"/>
      <c r="E16" s="29" t="n"/>
      <c r="F16" s="29" t="n"/>
      <c r="G16" s="29" t="n"/>
      <c r="H16" s="29" t="n"/>
      <c r="I16" s="29" t="n"/>
    </row>
    <row r="17" ht="22" customHeight="1" s="110">
      <c r="A17" s="1" t="n"/>
      <c r="B17" s="28" t="n"/>
      <c r="C17" s="28" t="n"/>
      <c r="D17" s="28" t="n"/>
      <c r="E17" s="28" t="n"/>
      <c r="F17" s="28" t="n"/>
      <c r="G17" s="28" t="n"/>
      <c r="H17" s="28" t="n"/>
      <c r="I17" s="28" t="n"/>
    </row>
    <row r="18" ht="22" customHeight="1" s="110">
      <c r="A18" s="1" t="n"/>
      <c r="B18" s="29" t="n"/>
      <c r="C18" s="29" t="n"/>
      <c r="D18" s="29" t="n"/>
      <c r="E18" s="29" t="n"/>
      <c r="F18" s="29" t="n"/>
      <c r="G18" s="29" t="n"/>
      <c r="H18" s="29" t="n"/>
      <c r="I18" s="29" t="n"/>
    </row>
    <row r="19" ht="22" customHeight="1" s="110">
      <c r="A19" s="1" t="n"/>
      <c r="B19" s="28" t="n"/>
      <c r="C19" s="28" t="n"/>
      <c r="D19" s="28" t="n"/>
      <c r="E19" s="28" t="n"/>
      <c r="F19" s="28" t="n"/>
      <c r="G19" s="28" t="n"/>
      <c r="H19" s="28" t="n"/>
      <c r="I19" s="28" t="n"/>
    </row>
    <row r="20" ht="22" customHeight="1" s="110">
      <c r="A20" s="1" t="n"/>
      <c r="B20" s="29" t="n"/>
      <c r="C20" s="29" t="n"/>
      <c r="D20" s="29" t="n"/>
      <c r="E20" s="29" t="n"/>
      <c r="F20" s="29" t="n"/>
      <c r="G20" s="29" t="n"/>
      <c r="H20" s="29" t="n"/>
      <c r="I20" s="29" t="n"/>
    </row>
    <row r="21" ht="22" customHeight="1" s="110">
      <c r="A21" s="1" t="n"/>
      <c r="B21" s="28" t="n"/>
      <c r="C21" s="28" t="n"/>
      <c r="D21" s="28" t="n"/>
      <c r="E21" s="28" t="n"/>
      <c r="F21" s="28" t="n"/>
      <c r="G21" s="28" t="n"/>
      <c r="H21" s="28" t="n"/>
      <c r="I21" s="28" t="n"/>
    </row>
    <row r="22" ht="22" customHeight="1" s="110">
      <c r="A22" s="1" t="n"/>
      <c r="B22" s="29" t="n"/>
      <c r="C22" s="29" t="n"/>
      <c r="D22" s="29" t="n"/>
      <c r="E22" s="29" t="n"/>
      <c r="F22" s="29" t="n"/>
      <c r="G22" s="29" t="n"/>
      <c r="H22" s="29" t="n"/>
      <c r="I22" s="29" t="n"/>
    </row>
    <row r="23" ht="22" customHeight="1" s="110">
      <c r="A23" s="1" t="n"/>
      <c r="B23" s="28" t="n"/>
      <c r="C23" s="28" t="n"/>
      <c r="D23" s="28" t="n"/>
      <c r="E23" s="28" t="n"/>
      <c r="F23" s="28" t="n"/>
      <c r="G23" s="28" t="n"/>
      <c r="H23" s="28" t="n"/>
      <c r="I23" s="28" t="n"/>
    </row>
    <row r="24" ht="22" customHeight="1" s="110">
      <c r="A24" s="1" t="n"/>
      <c r="B24" s="29" t="n"/>
      <c r="C24" s="29" t="n"/>
      <c r="D24" s="29" t="n"/>
      <c r="E24" s="29" t="n"/>
      <c r="F24" s="29" t="n"/>
      <c r="G24" s="29" t="n"/>
      <c r="H24" s="29" t="n"/>
      <c r="I24" s="29" t="n"/>
    </row>
    <row r="25" ht="22" customHeight="1" s="110">
      <c r="A25" s="1" t="n"/>
      <c r="B25" s="28" t="n"/>
      <c r="C25" s="28" t="n"/>
      <c r="D25" s="28" t="n"/>
      <c r="E25" s="28" t="n"/>
      <c r="F25" s="28" t="n"/>
      <c r="G25" s="28" t="n"/>
      <c r="H25" s="28" t="n"/>
      <c r="I25" s="28" t="n"/>
    </row>
    <row r="26" ht="22" customHeight="1" s="110">
      <c r="A26" s="1" t="n"/>
      <c r="B26" s="29" t="n"/>
      <c r="C26" s="29" t="n"/>
      <c r="D26" s="29" t="n"/>
      <c r="E26" s="29" t="n"/>
      <c r="F26" s="29" t="n"/>
      <c r="G26" s="29" t="n"/>
      <c r="H26" s="29" t="n"/>
      <c r="I26" s="29" t="n"/>
    </row>
    <row r="27">
      <c r="A27" s="1" t="n"/>
      <c r="B27" s="1" t="n"/>
      <c r="C27" s="1" t="n"/>
      <c r="D27" s="1" t="n"/>
      <c r="E27" s="1" t="n"/>
      <c r="F27" s="1" t="n"/>
      <c r="G27" s="1" t="n"/>
      <c r="H27" s="1" t="n"/>
      <c r="I27" s="1" t="n"/>
    </row>
    <row r="28">
      <c r="A28" s="1" t="n"/>
      <c r="B28" s="1" t="n"/>
      <c r="C28" s="1" t="n"/>
      <c r="D28" s="1" t="n"/>
      <c r="E28" s="1" t="n"/>
      <c r="F28" s="1" t="n"/>
      <c r="G28" s="1" t="n"/>
      <c r="H28" s="1" t="n"/>
      <c r="I28" s="1" t="n"/>
    </row>
    <row r="29">
      <c r="A29" s="1" t="n"/>
      <c r="B29" s="1" t="n"/>
      <c r="C29" s="1" t="n"/>
      <c r="D29" s="1" t="n"/>
      <c r="E29" s="1" t="n"/>
      <c r="F29" s="1" t="n"/>
      <c r="G29" s="1" t="n"/>
      <c r="H29" s="1" t="n"/>
      <c r="I29" s="1" t="n"/>
    </row>
    <row r="30">
      <c r="A30" s="1" t="n"/>
      <c r="B30" s="1" t="n"/>
      <c r="C30" s="1" t="n"/>
      <c r="D30" s="1" t="n"/>
      <c r="E30" s="1" t="n"/>
      <c r="F30" s="1" t="n"/>
      <c r="G30" s="1" t="n"/>
      <c r="H30" s="1" t="n"/>
      <c r="I30" s="1" t="n"/>
    </row>
    <row r="31">
      <c r="A31" s="1" t="n"/>
      <c r="B31" s="1" t="n"/>
      <c r="C31" s="1" t="n"/>
      <c r="D31" s="1" t="n"/>
      <c r="E31" s="1" t="n"/>
      <c r="F31" s="1" t="n"/>
      <c r="G31" s="1" t="n"/>
      <c r="H31" s="1" t="n"/>
      <c r="I31" s="1" t="n"/>
    </row>
    <row r="32">
      <c r="A32" s="1" t="n"/>
      <c r="B32" s="1" t="n"/>
      <c r="C32" s="1" t="n"/>
      <c r="D32" s="1" t="n"/>
      <c r="E32" s="1" t="n"/>
      <c r="F32" s="1" t="n"/>
      <c r="G32" s="1" t="n"/>
      <c r="H32" s="1" t="n"/>
      <c r="I32" s="1" t="n"/>
    </row>
    <row r="33">
      <c r="A33" s="1" t="n"/>
      <c r="B33" s="1" t="n"/>
      <c r="C33" s="1" t="n"/>
      <c r="D33" s="1" t="n"/>
      <c r="E33" s="1" t="n"/>
      <c r="F33" s="1" t="n"/>
      <c r="G33" s="1" t="n"/>
      <c r="H33" s="1" t="n"/>
      <c r="I33" s="1" t="n"/>
    </row>
    <row r="34">
      <c r="A34" s="1" t="n"/>
      <c r="B34" s="1" t="n"/>
      <c r="C34" s="1" t="n"/>
      <c r="D34" s="1" t="n"/>
      <c r="E34" s="1" t="n"/>
      <c r="F34" s="1" t="n"/>
      <c r="G34" s="1" t="n"/>
      <c r="H34" s="1" t="n"/>
      <c r="I34" s="1" t="n"/>
    </row>
    <row r="35">
      <c r="A35" s="1" t="n"/>
      <c r="B35" s="1" t="n"/>
      <c r="C35" s="1" t="n"/>
      <c r="D35" s="1" t="n"/>
      <c r="E35" s="1" t="n"/>
      <c r="F35" s="1" t="n"/>
      <c r="G35" s="1" t="n"/>
      <c r="H35" s="1" t="n"/>
      <c r="I35" s="1" t="n"/>
    </row>
    <row r="36">
      <c r="A36" s="1" t="n"/>
      <c r="B36" s="1" t="n"/>
      <c r="C36" s="1" t="n"/>
      <c r="D36" s="1" t="n"/>
      <c r="E36" s="1" t="n"/>
      <c r="F36" s="1" t="n"/>
      <c r="G36" s="1" t="n"/>
      <c r="H36" s="1" t="n"/>
      <c r="I36" s="1" t="n"/>
    </row>
    <row r="37">
      <c r="A37" s="1" t="n"/>
      <c r="B37" s="1" t="n"/>
      <c r="C37" s="1" t="n"/>
      <c r="D37" s="1" t="n"/>
      <c r="E37" s="1" t="n"/>
      <c r="F37" s="1" t="n"/>
      <c r="G37" s="1" t="n"/>
      <c r="H37" s="1" t="n"/>
      <c r="I37" s="1" t="n"/>
    </row>
    <row r="38">
      <c r="A38" s="1" t="n"/>
      <c r="B38" s="1" t="n"/>
      <c r="C38" s="1" t="n"/>
      <c r="D38" s="1" t="n"/>
      <c r="E38" s="1" t="n"/>
      <c r="F38" s="1" t="n"/>
      <c r="G38" s="1" t="n"/>
      <c r="H38" s="1" t="n"/>
      <c r="I38" s="1" t="n"/>
    </row>
    <row r="39">
      <c r="A39" s="1" t="n"/>
      <c r="B39" s="1" t="n"/>
      <c r="C39" s="1" t="n"/>
      <c r="D39" s="1" t="n"/>
      <c r="E39" s="1" t="n"/>
      <c r="F39" s="1" t="n"/>
      <c r="G39" s="1" t="n"/>
      <c r="H39" s="1" t="n"/>
      <c r="I39" s="1" t="n"/>
    </row>
    <row r="40">
      <c r="A40" s="1" t="n"/>
      <c r="B40" s="1" t="n"/>
      <c r="C40" s="1" t="n"/>
      <c r="D40" s="1" t="n"/>
      <c r="E40" s="1" t="n"/>
      <c r="F40" s="1" t="n"/>
      <c r="G40" s="1" t="n"/>
      <c r="H40" s="1" t="n"/>
      <c r="I40" s="1" t="n"/>
    </row>
    <row r="41">
      <c r="A41" s="1" t="n"/>
      <c r="B41" s="1" t="n"/>
      <c r="C41" s="1" t="n"/>
      <c r="D41" s="1" t="n"/>
      <c r="E41" s="1" t="n"/>
      <c r="F41" s="1" t="n"/>
      <c r="G41" s="1" t="n"/>
      <c r="H41" s="1" t="n"/>
      <c r="I41" s="1" t="n"/>
    </row>
    <row r="42">
      <c r="A42" s="1" t="n"/>
      <c r="B42" s="1" t="n"/>
      <c r="C42" s="1" t="n"/>
      <c r="D42" s="1" t="n"/>
      <c r="E42" s="1" t="n"/>
      <c r="F42" s="1" t="n"/>
      <c r="G42" s="1" t="n"/>
      <c r="H42" s="1" t="n"/>
      <c r="I42" s="1" t="n"/>
    </row>
    <row r="43">
      <c r="A43" s="1" t="n"/>
      <c r="B43" s="1" t="n"/>
      <c r="C43" s="1" t="n"/>
      <c r="D43" s="1" t="n"/>
      <c r="E43" s="1" t="n"/>
      <c r="F43" s="1" t="n"/>
      <c r="G43" s="1" t="n"/>
      <c r="H43" s="1" t="n"/>
      <c r="I43" s="1" t="n"/>
    </row>
    <row r="44">
      <c r="A44" s="1" t="n"/>
      <c r="B44" s="1" t="n"/>
      <c r="C44" s="1" t="n"/>
      <c r="D44" s="1" t="n"/>
      <c r="E44" s="1" t="n"/>
      <c r="F44" s="1" t="n"/>
      <c r="G44" s="1" t="n"/>
      <c r="H44" s="1" t="n"/>
      <c r="I44" s="1" t="n"/>
    </row>
    <row r="45">
      <c r="A45" s="1" t="n"/>
      <c r="B45" s="1" t="n"/>
      <c r="C45" s="1" t="n"/>
      <c r="D45" s="1" t="n"/>
      <c r="E45" s="1" t="n"/>
      <c r="F45" s="1" t="n"/>
      <c r="G45" s="1" t="n"/>
      <c r="H45" s="1" t="n"/>
      <c r="I45" s="1" t="n"/>
    </row>
    <row r="46">
      <c r="A46" s="1" t="n"/>
      <c r="B46" s="1" t="n"/>
      <c r="C46" s="1" t="n"/>
      <c r="D46" s="1" t="n"/>
      <c r="E46" s="1" t="n"/>
      <c r="F46" s="1" t="n"/>
      <c r="G46" s="1" t="n"/>
      <c r="H46" s="1" t="n"/>
      <c r="I46" s="1" t="n"/>
    </row>
    <row r="47">
      <c r="A47" s="1" t="n"/>
      <c r="B47" s="1" t="n"/>
      <c r="C47" s="1" t="n"/>
      <c r="D47" s="1" t="n"/>
      <c r="E47" s="1" t="n"/>
      <c r="F47" s="1" t="n"/>
      <c r="G47" s="1" t="n"/>
      <c r="H47" s="1" t="n"/>
      <c r="I47" s="1" t="n"/>
    </row>
    <row r="48">
      <c r="A48" s="1" t="n"/>
      <c r="B48" s="1" t="n"/>
      <c r="C48" s="1" t="n"/>
      <c r="D48" s="1" t="n"/>
      <c r="E48" s="1" t="n"/>
      <c r="F48" s="1" t="n"/>
      <c r="G48" s="1" t="n"/>
      <c r="H48" s="1" t="n"/>
      <c r="I48" s="1" t="n"/>
    </row>
    <row r="49">
      <c r="A49" s="1" t="n"/>
      <c r="B49" s="1" t="n"/>
      <c r="C49" s="1" t="n"/>
      <c r="D49" s="1" t="n"/>
      <c r="E49" s="1" t="n"/>
      <c r="F49" s="1" t="n"/>
      <c r="G49" s="1" t="n"/>
      <c r="H49" s="1" t="n"/>
      <c r="I49" s="1" t="n"/>
    </row>
    <row r="50">
      <c r="A50" s="1" t="n"/>
      <c r="B50" s="1" t="n"/>
      <c r="C50" s="1" t="n"/>
      <c r="D50" s="1" t="n"/>
      <c r="E50" s="1" t="n"/>
      <c r="F50" s="1" t="n"/>
      <c r="G50" s="1" t="n"/>
      <c r="H50" s="1" t="n"/>
      <c r="I50" s="1" t="n"/>
    </row>
    <row r="51">
      <c r="A51" s="1" t="n"/>
      <c r="B51" s="1" t="n"/>
      <c r="C51" s="1" t="n"/>
      <c r="D51" s="1" t="n"/>
      <c r="E51" s="1" t="n"/>
      <c r="F51" s="1" t="n"/>
      <c r="G51" s="1" t="n"/>
      <c r="H51" s="1" t="n"/>
      <c r="I51" s="1" t="n"/>
    </row>
    <row r="52">
      <c r="A52" s="1" t="n"/>
      <c r="B52" s="1" t="n"/>
      <c r="C52" s="1" t="n"/>
      <c r="D52" s="1" t="n"/>
      <c r="E52" s="1" t="n"/>
      <c r="F52" s="1" t="n"/>
      <c r="G52" s="1" t="n"/>
      <c r="H52" s="1" t="n"/>
      <c r="I52" s="1" t="n"/>
    </row>
    <row r="53">
      <c r="A53" s="1" t="n"/>
      <c r="B53" s="1" t="n"/>
      <c r="C53" s="1" t="n"/>
      <c r="D53" s="1" t="n"/>
      <c r="E53" s="1" t="n"/>
      <c r="F53" s="1" t="n"/>
      <c r="G53" s="1" t="n"/>
      <c r="H53" s="1" t="n"/>
      <c r="I53" s="1" t="n"/>
    </row>
    <row r="54">
      <c r="A54" s="1" t="n"/>
      <c r="B54" s="1" t="n"/>
      <c r="C54" s="1" t="n"/>
      <c r="D54" s="1" t="n"/>
      <c r="E54" s="1" t="n"/>
      <c r="F54" s="1" t="n"/>
      <c r="G54" s="1" t="n"/>
      <c r="H54" s="1" t="n"/>
      <c r="I54" s="1" t="n"/>
    </row>
    <row r="55">
      <c r="A55" s="1" t="n"/>
      <c r="B55" s="1" t="n"/>
      <c r="C55" s="1" t="n"/>
      <c r="D55" s="1" t="n"/>
      <c r="E55" s="1" t="n"/>
      <c r="F55" s="1" t="n"/>
      <c r="G55" s="1" t="n"/>
      <c r="H55" s="1" t="n"/>
      <c r="I55" s="1" t="n"/>
    </row>
    <row r="56">
      <c r="A56" s="1" t="n"/>
      <c r="B56" s="1" t="n"/>
      <c r="C56" s="1" t="n"/>
      <c r="D56" s="1" t="n"/>
      <c r="E56" s="1" t="n"/>
      <c r="F56" s="1" t="n"/>
      <c r="G56" s="1" t="n"/>
      <c r="H56" s="1" t="n"/>
      <c r="I56" s="1" t="n"/>
    </row>
    <row r="57">
      <c r="A57" s="1" t="n"/>
      <c r="B57" s="1" t="n"/>
      <c r="C57" s="1" t="n"/>
      <c r="D57" s="1" t="n"/>
      <c r="E57" s="1" t="n"/>
      <c r="F57" s="1" t="n"/>
      <c r="G57" s="1" t="n"/>
      <c r="H57" s="1" t="n"/>
      <c r="I57" s="1" t="n"/>
    </row>
    <row r="58">
      <c r="A58" s="1" t="n"/>
      <c r="B58" s="1" t="n"/>
      <c r="C58" s="1" t="n"/>
      <c r="D58" s="1" t="n"/>
      <c r="E58" s="1" t="n"/>
      <c r="F58" s="1" t="n"/>
      <c r="G58" s="1" t="n"/>
      <c r="H58" s="1" t="n"/>
      <c r="I58" s="1" t="n"/>
    </row>
    <row r="59">
      <c r="A59" s="1" t="n"/>
      <c r="B59" s="1" t="n"/>
      <c r="C59" s="1" t="n"/>
      <c r="D59" s="1" t="n"/>
      <c r="E59" s="1" t="n"/>
      <c r="F59" s="1" t="n"/>
      <c r="G59" s="1" t="n"/>
      <c r="H59" s="1" t="n"/>
      <c r="I59" s="1" t="n"/>
    </row>
  </sheetData>
  <mergeCells count="2">
    <mergeCell ref="B1:I1"/>
    <mergeCell ref="B2:I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Planilha5">
    <tabColor rgb="FF52A46C"/>
    <outlinePr summaryBelow="1" summaryRight="1"/>
    <pageSetUpPr/>
  </sheetPr>
  <dimension ref="A1:H59"/>
  <sheetViews>
    <sheetView showGridLines="0" zoomScale="125" workbookViewId="0">
      <pane xSplit="1" ySplit="3" topLeftCell="B4" activePane="bottomRight" state="frozen"/>
      <selection pane="topRight" activeCell="A1" sqref="A1"/>
      <selection pane="bottomLeft" activeCell="A1" sqref="A1"/>
      <selection pane="bottomRight" activeCell="H4" sqref="H4"/>
    </sheetView>
  </sheetViews>
  <sheetFormatPr baseColWidth="10" defaultColWidth="8.83203125" defaultRowHeight="15"/>
  <cols>
    <col width="3" customWidth="1" style="110" min="1" max="1"/>
    <col width="32" customWidth="1" style="110" min="2" max="2"/>
    <col width="16" customWidth="1" style="110" min="3" max="3"/>
    <col width="22" customWidth="1" style="110" min="4" max="5"/>
    <col width="18" customWidth="1" style="110" min="6" max="6"/>
    <col width="14" customWidth="1" style="110" min="7" max="8"/>
  </cols>
  <sheetData>
    <row r="1" ht="40" customHeight="1" s="110">
      <c r="A1" s="1" t="n"/>
      <c r="B1" s="145" t="inlineStr">
        <is>
          <t xml:space="preserve">  👤 PROJETOS COM GERENTES — VISÃO DA EQUIPE</t>
        </is>
      </c>
    </row>
    <row r="2" ht="20" customHeight="1" s="110">
      <c r="A2" s="1" t="n"/>
      <c r="B2" s="146" t="inlineStr">
        <is>
          <t xml:space="preserve">  Clique no nome do projeto para navegar ao Doing  →  Macro NavigateToDoing</t>
        </is>
      </c>
    </row>
    <row r="3" ht="28" customHeight="1" s="110">
      <c r="A3" s="1" t="n"/>
      <c r="B3" s="2" t="inlineStr">
        <is>
          <t>Nome do Projeto</t>
        </is>
      </c>
      <c r="C3" s="2" t="inlineStr">
        <is>
          <t>GTB</t>
        </is>
      </c>
      <c r="D3" s="2" t="inlineStr">
        <is>
          <t>Sócio/Gerente</t>
        </is>
      </c>
      <c r="E3" s="2" t="inlineStr">
        <is>
          <t>Associate/Senior</t>
        </is>
      </c>
      <c r="F3" s="2" t="inlineStr">
        <is>
          <t>Trainee</t>
        </is>
      </c>
      <c r="G3" s="2" t="inlineStr">
        <is>
          <t>FY</t>
        </is>
      </c>
      <c r="H3" s="2" t="inlineStr">
        <is>
          <t>Status</t>
        </is>
      </c>
    </row>
    <row r="4" ht="22" customHeight="1" s="110">
      <c r="A4" s="1" t="n"/>
      <c r="B4" s="3" t="inlineStr">
        <is>
          <t>Dorf Ketal Chemicals FY25</t>
        </is>
      </c>
      <c r="C4" s="34" t="inlineStr">
        <is>
          <t>GTB50612</t>
        </is>
      </c>
      <c r="D4" s="10" t="inlineStr">
        <is>
          <t>João Silva</t>
        </is>
      </c>
      <c r="E4" s="159" t="inlineStr">
        <is>
          <t>Kaik Dev</t>
        </is>
      </c>
      <c r="F4" s="159" t="inlineStr">
        <is>
          <t>—</t>
        </is>
      </c>
      <c r="G4" s="34" t="inlineStr">
        <is>
          <t>FY25</t>
        </is>
      </c>
      <c r="H4" s="16" t="inlineStr">
        <is>
          <t>● Doing</t>
        </is>
      </c>
    </row>
    <row r="5" ht="22" customHeight="1" s="110">
      <c r="A5" s="1" t="n"/>
      <c r="B5" s="6" t="inlineStr">
        <is>
          <t>BMW do Brasil FY26</t>
        </is>
      </c>
      <c r="C5" s="36" t="inlineStr">
        <is>
          <t>GTB55638</t>
        </is>
      </c>
      <c r="D5" s="9" t="inlineStr">
        <is>
          <t>Ana Lima</t>
        </is>
      </c>
      <c r="E5" s="156" t="inlineStr">
        <is>
          <t>Catarina Muniz</t>
        </is>
      </c>
      <c r="F5" s="156" t="inlineStr">
        <is>
          <t>Eduardo</t>
        </is>
      </c>
      <c r="G5" s="36" t="inlineStr">
        <is>
          <t>FY26</t>
        </is>
      </c>
      <c r="H5" s="17" t="inlineStr">
        <is>
          <t>● Planejado</t>
        </is>
      </c>
    </row>
    <row r="6" ht="22" customHeight="1" s="110">
      <c r="A6" s="1" t="n"/>
      <c r="B6" s="3" t="inlineStr">
        <is>
          <t>AD Instruments FY25</t>
        </is>
      </c>
      <c r="C6" s="34" t="inlineStr">
        <is>
          <t>GTB60949</t>
        </is>
      </c>
      <c r="D6" s="10" t="inlineStr">
        <is>
          <t>Giovanna F.</t>
        </is>
      </c>
      <c r="E6" s="159" t="inlineStr">
        <is>
          <t>Catarina Muniz</t>
        </is>
      </c>
      <c r="F6" s="159" t="inlineStr">
        <is>
          <t>Analis R.</t>
        </is>
      </c>
      <c r="G6" s="34" t="inlineStr">
        <is>
          <t>FY25</t>
        </is>
      </c>
      <c r="H6" s="16" t="inlineStr">
        <is>
          <t>● Doing</t>
        </is>
      </c>
    </row>
    <row r="7" ht="22" customHeight="1" s="110">
      <c r="A7" s="1" t="n"/>
      <c r="B7" s="6" t="inlineStr">
        <is>
          <t>Biomerieux FY25</t>
        </is>
      </c>
      <c r="C7" s="36" t="inlineStr">
        <is>
          <t>GTB50612</t>
        </is>
      </c>
      <c r="D7" s="9" t="inlineStr">
        <is>
          <t>Jessica B.</t>
        </is>
      </c>
      <c r="E7" s="156" t="inlineStr">
        <is>
          <t>Carlos Benfica</t>
        </is>
      </c>
      <c r="F7" s="156" t="inlineStr">
        <is>
          <t>—</t>
        </is>
      </c>
      <c r="G7" s="36" t="inlineStr">
        <is>
          <t>FY25</t>
        </is>
      </c>
      <c r="H7" s="14" t="inlineStr">
        <is>
          <t>● Concluído</t>
        </is>
      </c>
    </row>
    <row r="8" ht="22" customHeight="1" s="110">
      <c r="A8" s="1" t="n"/>
      <c r="B8" s="3" t="inlineStr">
        <is>
          <t>Handtmann FY25</t>
        </is>
      </c>
      <c r="C8" s="34" t="inlineStr">
        <is>
          <t>GTB49333</t>
        </is>
      </c>
      <c r="D8" s="10" t="inlineStr">
        <is>
          <t>Beni</t>
        </is>
      </c>
      <c r="E8" s="159" t="inlineStr">
        <is>
          <t>Julia Loureiro</t>
        </is>
      </c>
      <c r="F8" s="159" t="inlineStr">
        <is>
          <t>—</t>
        </is>
      </c>
      <c r="G8" s="34" t="inlineStr">
        <is>
          <t>FY25</t>
        </is>
      </c>
      <c r="H8" s="14" t="inlineStr">
        <is>
          <t>● Concluído</t>
        </is>
      </c>
    </row>
    <row r="9" ht="22" customHeight="1" s="110">
      <c r="A9" s="1" t="n"/>
      <c r="B9" s="6" t="inlineStr">
        <is>
          <t>Bry-Air FY26</t>
        </is>
      </c>
      <c r="C9" s="36" t="inlineStr">
        <is>
          <t>GTB55531</t>
        </is>
      </c>
      <c r="D9" s="9" t="inlineStr">
        <is>
          <t>Clarissa H.</t>
        </is>
      </c>
      <c r="E9" s="156" t="inlineStr">
        <is>
          <t>—</t>
        </is>
      </c>
      <c r="F9" s="156" t="inlineStr">
        <is>
          <t>—</t>
        </is>
      </c>
      <c r="G9" s="36" t="inlineStr">
        <is>
          <t>FY26</t>
        </is>
      </c>
      <c r="H9" s="18" t="inlineStr">
        <is>
          <t>● Não Iniciado</t>
        </is>
      </c>
    </row>
    <row r="10" ht="22" customHeight="1" s="110">
      <c r="A10" s="1" t="n"/>
      <c r="B10" s="3" t="inlineStr">
        <is>
          <t>Cinex FY26</t>
        </is>
      </c>
      <c r="C10" s="34" t="inlineStr">
        <is>
          <t>GTB55342</t>
        </is>
      </c>
      <c r="D10" s="10" t="inlineStr">
        <is>
          <t>Clarissa H.</t>
        </is>
      </c>
      <c r="E10" s="159" t="inlineStr">
        <is>
          <t>—</t>
        </is>
      </c>
      <c r="F10" s="159" t="inlineStr">
        <is>
          <t>—</t>
        </is>
      </c>
      <c r="G10" s="34" t="inlineStr">
        <is>
          <t>FY26</t>
        </is>
      </c>
      <c r="H10" s="18" t="inlineStr">
        <is>
          <t>● Não Iniciado</t>
        </is>
      </c>
    </row>
    <row r="11" ht="22" customHeight="1" s="110">
      <c r="A11" s="1" t="n"/>
      <c r="B11" s="6" t="inlineStr">
        <is>
          <t>Hayamax FY26</t>
        </is>
      </c>
      <c r="C11" s="36" t="inlineStr">
        <is>
          <t>GTB55370</t>
        </is>
      </c>
      <c r="D11" s="9" t="inlineStr">
        <is>
          <t>Clarissa H.</t>
        </is>
      </c>
      <c r="E11" s="156" t="inlineStr">
        <is>
          <t>—</t>
        </is>
      </c>
      <c r="F11" s="156" t="inlineStr">
        <is>
          <t>—</t>
        </is>
      </c>
      <c r="G11" s="36" t="inlineStr">
        <is>
          <t>FY26</t>
        </is>
      </c>
      <c r="H11" s="18" t="inlineStr">
        <is>
          <t>● Não Iniciado</t>
        </is>
      </c>
    </row>
    <row r="12" ht="22" customHeight="1" s="110">
      <c r="A12" s="1" t="n"/>
      <c r="B12" s="3" t="inlineStr">
        <is>
          <t>Leonardo do Brasil FY26</t>
        </is>
      </c>
      <c r="C12" s="34" t="inlineStr">
        <is>
          <t>GTB62428</t>
        </is>
      </c>
      <c r="D12" s="10" t="inlineStr">
        <is>
          <t>Nathália M.</t>
        </is>
      </c>
      <c r="E12" s="159" t="inlineStr">
        <is>
          <t>Analis R.</t>
        </is>
      </c>
      <c r="F12" s="159" t="inlineStr">
        <is>
          <t>Eduardo</t>
        </is>
      </c>
      <c r="G12" s="34" t="inlineStr">
        <is>
          <t>FY26</t>
        </is>
      </c>
      <c r="H12" s="17" t="inlineStr">
        <is>
          <t>● Planejado</t>
        </is>
      </c>
    </row>
    <row r="13" ht="22" customHeight="1" s="110">
      <c r="A13" s="1" t="n"/>
      <c r="B13" s="6" t="inlineStr">
        <is>
          <t>Adeka Brasil FY25</t>
        </is>
      </c>
      <c r="C13" s="36" t="inlineStr">
        <is>
          <t>GTB62397</t>
        </is>
      </c>
      <c r="D13" s="9" t="inlineStr">
        <is>
          <t>Jessica B.</t>
        </is>
      </c>
      <c r="E13" s="156" t="inlineStr">
        <is>
          <t>Carlos Benfica</t>
        </is>
      </c>
      <c r="F13" s="156" t="inlineStr">
        <is>
          <t>—</t>
        </is>
      </c>
      <c r="G13" s="36" t="inlineStr">
        <is>
          <t>FY25</t>
        </is>
      </c>
      <c r="H13" s="14" t="inlineStr">
        <is>
          <t>● Concluído</t>
        </is>
      </c>
    </row>
    <row r="14" ht="22" customHeight="1" s="110">
      <c r="A14" s="1" t="n"/>
      <c r="B14" s="3" t="inlineStr">
        <is>
          <t>Adobe (GT Irlanda) FY25</t>
        </is>
      </c>
      <c r="C14" s="34" t="inlineStr">
        <is>
          <t>GTB66128</t>
        </is>
      </c>
      <c r="D14" s="10" t="inlineStr">
        <is>
          <t>Clarissa H.</t>
        </is>
      </c>
      <c r="E14" s="159" t="inlineStr">
        <is>
          <t>—</t>
        </is>
      </c>
      <c r="F14" s="159" t="inlineStr">
        <is>
          <t>—</t>
        </is>
      </c>
      <c r="G14" s="34" t="inlineStr">
        <is>
          <t>FY25</t>
        </is>
      </c>
      <c r="H14" s="14" t="inlineStr">
        <is>
          <t>● Concluído</t>
        </is>
      </c>
    </row>
    <row r="15" ht="22" customHeight="1" s="110">
      <c r="A15" s="1" t="n"/>
      <c r="B15" s="6" t="inlineStr">
        <is>
          <t>Actia FY25</t>
        </is>
      </c>
      <c r="C15" s="36" t="inlineStr">
        <is>
          <t>—</t>
        </is>
      </c>
      <c r="D15" s="9" t="inlineStr">
        <is>
          <t>Juan Herrera</t>
        </is>
      </c>
      <c r="E15" s="156" t="inlineStr">
        <is>
          <t>Julia Loureiro</t>
        </is>
      </c>
      <c r="F15" s="156" t="inlineStr">
        <is>
          <t>—</t>
        </is>
      </c>
      <c r="G15" s="36" t="inlineStr">
        <is>
          <t>FY25</t>
        </is>
      </c>
      <c r="H15" s="14" t="inlineStr">
        <is>
          <t>● Concluído</t>
        </is>
      </c>
    </row>
    <row r="16">
      <c r="A16" s="1" t="n"/>
      <c r="B16" s="1" t="n"/>
      <c r="C16" s="1" t="n"/>
      <c r="D16" s="1" t="n"/>
      <c r="E16" s="1" t="n"/>
      <c r="F16" s="1" t="n"/>
      <c r="G16" s="1" t="n"/>
      <c r="H16" s="1" t="n"/>
    </row>
    <row r="17">
      <c r="A17" s="1" t="n"/>
      <c r="B17" s="1" t="n"/>
      <c r="C17" s="1" t="n"/>
      <c r="D17" s="1" t="n"/>
      <c r="E17" s="1" t="n"/>
      <c r="F17" s="1" t="n"/>
      <c r="G17" s="1" t="n"/>
      <c r="H17" s="1" t="n"/>
    </row>
    <row r="18">
      <c r="A18" s="1" t="n"/>
      <c r="B18" s="1" t="n"/>
      <c r="C18" s="1" t="n"/>
      <c r="D18" s="1" t="n"/>
      <c r="E18" s="1" t="n"/>
      <c r="F18" s="1" t="n"/>
      <c r="G18" s="1" t="n"/>
      <c r="H18" s="1" t="n"/>
    </row>
    <row r="19">
      <c r="A19" s="1" t="n"/>
      <c r="B19" s="1" t="n"/>
      <c r="C19" s="1" t="n"/>
      <c r="D19" s="1" t="n"/>
      <c r="E19" s="1" t="n"/>
      <c r="F19" s="1" t="n"/>
      <c r="G19" s="1" t="n"/>
      <c r="H19" s="1" t="n"/>
    </row>
    <row r="20">
      <c r="A20" s="1" t="n"/>
      <c r="B20" s="1" t="n"/>
      <c r="C20" s="1" t="n"/>
      <c r="D20" s="1" t="n"/>
      <c r="E20" s="1" t="n"/>
      <c r="F20" s="1" t="n"/>
      <c r="G20" s="1" t="n"/>
      <c r="H20" s="1" t="n"/>
    </row>
    <row r="21">
      <c r="A21" s="1" t="n"/>
      <c r="B21" s="1" t="n"/>
      <c r="C21" s="1" t="n"/>
      <c r="D21" s="1" t="n"/>
      <c r="E21" s="1" t="n"/>
      <c r="F21" s="1" t="n"/>
      <c r="G21" s="1" t="n"/>
      <c r="H21" s="1" t="n"/>
    </row>
    <row r="22">
      <c r="A22" s="1" t="n"/>
      <c r="B22" s="1" t="n"/>
      <c r="C22" s="1" t="n"/>
      <c r="D22" s="1" t="n"/>
      <c r="E22" s="1" t="n"/>
      <c r="F22" s="1" t="n"/>
      <c r="G22" s="1" t="n"/>
      <c r="H22" s="1" t="n"/>
    </row>
    <row r="23">
      <c r="A23" s="1" t="n"/>
      <c r="B23" s="1" t="n"/>
      <c r="C23" s="1" t="n"/>
      <c r="D23" s="1" t="n"/>
      <c r="E23" s="1" t="n"/>
      <c r="F23" s="1" t="n"/>
      <c r="G23" s="1" t="n"/>
      <c r="H23" s="1" t="n"/>
    </row>
    <row r="24">
      <c r="A24" s="1" t="n"/>
      <c r="B24" s="1" t="n"/>
      <c r="C24" s="1" t="n"/>
      <c r="D24" s="1" t="n"/>
      <c r="E24" s="1" t="n"/>
      <c r="F24" s="1" t="n"/>
      <c r="G24" s="1" t="n"/>
      <c r="H24" s="1" t="n"/>
    </row>
    <row r="25">
      <c r="A25" s="1" t="n"/>
      <c r="B25" s="1" t="n"/>
      <c r="C25" s="1" t="n"/>
      <c r="D25" s="1" t="n"/>
      <c r="E25" s="1" t="n"/>
      <c r="F25" s="1" t="n"/>
      <c r="G25" s="1" t="n"/>
      <c r="H25" s="1" t="n"/>
    </row>
    <row r="26">
      <c r="A26" s="1" t="n"/>
      <c r="B26" s="1" t="n"/>
      <c r="C26" s="1" t="n"/>
      <c r="D26" s="1" t="n"/>
      <c r="E26" s="1" t="n"/>
      <c r="F26" s="1" t="n"/>
      <c r="G26" s="1" t="n"/>
      <c r="H26" s="1" t="n"/>
    </row>
    <row r="27">
      <c r="A27" s="1" t="n"/>
      <c r="B27" s="1" t="n"/>
      <c r="C27" s="1" t="n"/>
      <c r="D27" s="1" t="n"/>
      <c r="E27" s="1" t="n"/>
      <c r="F27" s="1" t="n"/>
      <c r="G27" s="1" t="n"/>
      <c r="H27" s="1" t="n"/>
    </row>
    <row r="28">
      <c r="A28" s="1" t="n"/>
      <c r="B28" s="1" t="n"/>
      <c r="C28" s="1" t="n"/>
      <c r="D28" s="1" t="n"/>
      <c r="E28" s="1" t="n"/>
      <c r="F28" s="1" t="n"/>
      <c r="G28" s="1" t="n"/>
      <c r="H28" s="1" t="n"/>
    </row>
    <row r="29">
      <c r="A29" s="1" t="n"/>
      <c r="B29" s="1" t="n"/>
      <c r="C29" s="1" t="n"/>
      <c r="D29" s="1" t="n"/>
      <c r="E29" s="1" t="n"/>
      <c r="F29" s="1" t="n"/>
      <c r="G29" s="1" t="n"/>
      <c r="H29" s="1" t="n"/>
    </row>
    <row r="30">
      <c r="A30" s="1" t="n"/>
      <c r="B30" s="1" t="n"/>
      <c r="C30" s="1" t="n"/>
      <c r="D30" s="1" t="n"/>
      <c r="E30" s="1" t="n"/>
      <c r="F30" s="1" t="n"/>
      <c r="G30" s="1" t="n"/>
      <c r="H30" s="1" t="n"/>
    </row>
    <row r="31">
      <c r="A31" s="1" t="n"/>
      <c r="B31" s="1" t="n"/>
      <c r="C31" s="1" t="n"/>
      <c r="D31" s="1" t="n"/>
      <c r="E31" s="1" t="n"/>
      <c r="F31" s="1" t="n"/>
      <c r="G31" s="1" t="n"/>
      <c r="H31" s="1" t="n"/>
    </row>
    <row r="32">
      <c r="A32" s="1" t="n"/>
      <c r="B32" s="1" t="n"/>
      <c r="C32" s="1" t="n"/>
      <c r="D32" s="1" t="n"/>
      <c r="E32" s="1" t="n"/>
      <c r="F32" s="1" t="n"/>
      <c r="G32" s="1" t="n"/>
      <c r="H32" s="1" t="n"/>
    </row>
    <row r="33">
      <c r="A33" s="1" t="n"/>
      <c r="B33" s="1" t="n"/>
      <c r="C33" s="1" t="n"/>
      <c r="D33" s="1" t="n"/>
      <c r="E33" s="1" t="n"/>
      <c r="F33" s="1" t="n"/>
      <c r="G33" s="1" t="n"/>
      <c r="H33" s="1" t="n"/>
    </row>
    <row r="34">
      <c r="A34" s="1" t="n"/>
      <c r="B34" s="1" t="n"/>
      <c r="C34" s="1" t="n"/>
      <c r="D34" s="1" t="n"/>
      <c r="E34" s="1" t="n"/>
      <c r="F34" s="1" t="n"/>
      <c r="G34" s="1" t="n"/>
      <c r="H34" s="1" t="n"/>
    </row>
    <row r="35">
      <c r="A35" s="1" t="n"/>
      <c r="B35" s="1" t="n"/>
      <c r="C35" s="1" t="n"/>
      <c r="D35" s="1" t="n"/>
      <c r="E35" s="1" t="n"/>
      <c r="F35" s="1" t="n"/>
      <c r="G35" s="1" t="n"/>
      <c r="H35" s="1" t="n"/>
    </row>
    <row r="36">
      <c r="A36" s="1" t="n"/>
      <c r="B36" s="1" t="n"/>
      <c r="C36" s="1" t="n"/>
      <c r="D36" s="1" t="n"/>
      <c r="E36" s="1" t="n"/>
      <c r="F36" s="1" t="n"/>
      <c r="G36" s="1" t="n"/>
      <c r="H36" s="1" t="n"/>
    </row>
    <row r="37">
      <c r="A37" s="1" t="n"/>
      <c r="B37" s="1" t="n"/>
      <c r="C37" s="1" t="n"/>
      <c r="D37" s="1" t="n"/>
      <c r="E37" s="1" t="n"/>
      <c r="F37" s="1" t="n"/>
      <c r="G37" s="1" t="n"/>
      <c r="H37" s="1" t="n"/>
    </row>
    <row r="38">
      <c r="A38" s="1" t="n"/>
      <c r="B38" s="1" t="n"/>
      <c r="C38" s="1" t="n"/>
      <c r="D38" s="1" t="n"/>
      <c r="E38" s="1" t="n"/>
      <c r="F38" s="1" t="n"/>
      <c r="G38" s="1" t="n"/>
      <c r="H38" s="1" t="n"/>
    </row>
    <row r="39">
      <c r="A39" s="1" t="n"/>
      <c r="B39" s="1" t="n"/>
      <c r="C39" s="1" t="n"/>
      <c r="D39" s="1" t="n"/>
      <c r="E39" s="1" t="n"/>
      <c r="F39" s="1" t="n"/>
      <c r="G39" s="1" t="n"/>
      <c r="H39" s="1" t="n"/>
    </row>
    <row r="40">
      <c r="A40" s="1" t="n"/>
      <c r="B40" s="1" t="n"/>
      <c r="C40" s="1" t="n"/>
      <c r="D40" s="1" t="n"/>
      <c r="E40" s="1" t="n"/>
      <c r="F40" s="1" t="n"/>
      <c r="G40" s="1" t="n"/>
      <c r="H40" s="1" t="n"/>
    </row>
    <row r="41">
      <c r="A41" s="1" t="n"/>
      <c r="B41" s="1" t="n"/>
      <c r="C41" s="1" t="n"/>
      <c r="D41" s="1" t="n"/>
      <c r="E41" s="1" t="n"/>
      <c r="F41" s="1" t="n"/>
      <c r="G41" s="1" t="n"/>
      <c r="H41" s="1" t="n"/>
    </row>
    <row r="42">
      <c r="A42" s="1" t="n"/>
      <c r="B42" s="1" t="n"/>
      <c r="C42" s="1" t="n"/>
      <c r="D42" s="1" t="n"/>
      <c r="E42" s="1" t="n"/>
      <c r="F42" s="1" t="n"/>
      <c r="G42" s="1" t="n"/>
      <c r="H42" s="1" t="n"/>
    </row>
    <row r="43">
      <c r="A43" s="1" t="n"/>
      <c r="B43" s="1" t="n"/>
      <c r="C43" s="1" t="n"/>
      <c r="D43" s="1" t="n"/>
      <c r="E43" s="1" t="n"/>
      <c r="F43" s="1" t="n"/>
      <c r="G43" s="1" t="n"/>
      <c r="H43" s="1" t="n"/>
    </row>
    <row r="44">
      <c r="A44" s="1" t="n"/>
      <c r="B44" s="1" t="n"/>
      <c r="C44" s="1" t="n"/>
      <c r="D44" s="1" t="n"/>
      <c r="E44" s="1" t="n"/>
      <c r="F44" s="1" t="n"/>
      <c r="G44" s="1" t="n"/>
      <c r="H44" s="1" t="n"/>
    </row>
    <row r="45">
      <c r="A45" s="1" t="n"/>
      <c r="B45" s="1" t="n"/>
      <c r="C45" s="1" t="n"/>
      <c r="D45" s="1" t="n"/>
      <c r="E45" s="1" t="n"/>
      <c r="F45" s="1" t="n"/>
      <c r="G45" s="1" t="n"/>
      <c r="H45" s="1" t="n"/>
    </row>
    <row r="46">
      <c r="A46" s="1" t="n"/>
      <c r="B46" s="1" t="n"/>
      <c r="C46" s="1" t="n"/>
      <c r="D46" s="1" t="n"/>
      <c r="E46" s="1" t="n"/>
      <c r="F46" s="1" t="n"/>
      <c r="G46" s="1" t="n"/>
      <c r="H46" s="1" t="n"/>
    </row>
    <row r="47">
      <c r="A47" s="1" t="n"/>
      <c r="B47" s="1" t="n"/>
      <c r="C47" s="1" t="n"/>
      <c r="D47" s="1" t="n"/>
      <c r="E47" s="1" t="n"/>
      <c r="F47" s="1" t="n"/>
      <c r="G47" s="1" t="n"/>
      <c r="H47" s="1" t="n"/>
    </row>
    <row r="48">
      <c r="A48" s="1" t="n"/>
      <c r="B48" s="1" t="n"/>
      <c r="C48" s="1" t="n"/>
      <c r="D48" s="1" t="n"/>
      <c r="E48" s="1" t="n"/>
      <c r="F48" s="1" t="n"/>
      <c r="G48" s="1" t="n"/>
      <c r="H48" s="1" t="n"/>
    </row>
    <row r="49">
      <c r="A49" s="1" t="n"/>
      <c r="B49" s="1" t="n"/>
      <c r="C49" s="1" t="n"/>
      <c r="D49" s="1" t="n"/>
      <c r="E49" s="1" t="n"/>
      <c r="F49" s="1" t="n"/>
      <c r="G49" s="1" t="n"/>
      <c r="H49" s="1" t="n"/>
    </row>
    <row r="50">
      <c r="A50" s="1" t="n"/>
      <c r="B50" s="1" t="n"/>
      <c r="C50" s="1" t="n"/>
      <c r="D50" s="1" t="n"/>
      <c r="E50" s="1" t="n"/>
      <c r="F50" s="1" t="n"/>
      <c r="G50" s="1" t="n"/>
      <c r="H50" s="1" t="n"/>
    </row>
    <row r="51">
      <c r="A51" s="1" t="n"/>
      <c r="B51" s="1" t="n"/>
      <c r="C51" s="1" t="n"/>
      <c r="D51" s="1" t="n"/>
      <c r="E51" s="1" t="n"/>
      <c r="F51" s="1" t="n"/>
      <c r="G51" s="1" t="n"/>
      <c r="H51" s="1" t="n"/>
    </row>
    <row r="52">
      <c r="A52" s="1" t="n"/>
      <c r="B52" s="1" t="n"/>
      <c r="C52" s="1" t="n"/>
      <c r="D52" s="1" t="n"/>
      <c r="E52" s="1" t="n"/>
      <c r="F52" s="1" t="n"/>
      <c r="G52" s="1" t="n"/>
      <c r="H52" s="1" t="n"/>
    </row>
    <row r="53">
      <c r="A53" s="1" t="n"/>
      <c r="B53" s="1" t="n"/>
      <c r="C53" s="1" t="n"/>
      <c r="D53" s="1" t="n"/>
      <c r="E53" s="1" t="n"/>
      <c r="F53" s="1" t="n"/>
      <c r="G53" s="1" t="n"/>
      <c r="H53" s="1" t="n"/>
    </row>
    <row r="54">
      <c r="A54" s="1" t="n"/>
      <c r="B54" s="1" t="n"/>
      <c r="C54" s="1" t="n"/>
      <c r="D54" s="1" t="n"/>
      <c r="E54" s="1" t="n"/>
      <c r="F54" s="1" t="n"/>
      <c r="G54" s="1" t="n"/>
      <c r="H54" s="1" t="n"/>
    </row>
    <row r="55">
      <c r="A55" s="1" t="n"/>
      <c r="B55" s="1" t="n"/>
      <c r="C55" s="1" t="n"/>
      <c r="D55" s="1" t="n"/>
      <c r="E55" s="1" t="n"/>
      <c r="F55" s="1" t="n"/>
      <c r="G55" s="1" t="n"/>
      <c r="H55" s="1" t="n"/>
    </row>
    <row r="56">
      <c r="A56" s="1" t="n"/>
      <c r="B56" s="1" t="n"/>
      <c r="C56" s="1" t="n"/>
      <c r="D56" s="1" t="n"/>
      <c r="E56" s="1" t="n"/>
      <c r="F56" s="1" t="n"/>
      <c r="G56" s="1" t="n"/>
      <c r="H56" s="1" t="n"/>
    </row>
    <row r="57">
      <c r="A57" s="1" t="n"/>
      <c r="B57" s="1" t="n"/>
      <c r="C57" s="1" t="n"/>
      <c r="D57" s="1" t="n"/>
      <c r="E57" s="1" t="n"/>
      <c r="F57" s="1" t="n"/>
      <c r="G57" s="1" t="n"/>
      <c r="H57" s="1" t="n"/>
    </row>
    <row r="58">
      <c r="A58" s="1" t="n"/>
      <c r="B58" s="1" t="n"/>
      <c r="C58" s="1" t="n"/>
      <c r="D58" s="1" t="n"/>
      <c r="E58" s="1" t="n"/>
      <c r="F58" s="1" t="n"/>
      <c r="G58" s="1" t="n"/>
      <c r="H58" s="1" t="n"/>
    </row>
    <row r="59">
      <c r="A59" s="1" t="n"/>
      <c r="B59" s="1" t="n"/>
      <c r="C59" s="1" t="n"/>
      <c r="D59" s="1" t="n"/>
      <c r="E59" s="1" t="n"/>
      <c r="F59" s="1" t="n"/>
      <c r="G59" s="1" t="n"/>
      <c r="H59" s="1" t="n"/>
    </row>
  </sheetData>
  <mergeCells count="2">
    <mergeCell ref="B1:H1"/>
    <mergeCell ref="B2:H2"/>
  </mergeCells>
  <conditionalFormatting sqref="H4:H60">
    <cfRule type="expression" priority="1" dxfId="12">
      <formula>ISNUMBER(SEARCH("Doing",H4))</formula>
    </cfRule>
    <cfRule type="expression" priority="2" dxfId="11">
      <formula>ISNUMBER(SEARCH("Planejado",H4))</formula>
    </cfRule>
    <cfRule type="expression" priority="3" dxfId="10">
      <formula>ISNUMBER(SEARCH("Conclu",H4))</formula>
    </cfRule>
    <cfRule type="expression" priority="4" dxfId="9">
      <formula>ISNUMBER(SEARCH("Não Iniciado",H4))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Planilha6">
    <tabColor rgb="FF8E44AD"/>
    <outlinePr summaryBelow="0"/>
    <pageSetUpPr/>
  </sheetPr>
  <dimension ref="A1:F199"/>
  <sheetViews>
    <sheetView showGridLines="0" zoomScale="134" workbookViewId="0">
      <pane xSplit="1" ySplit="3" topLeftCell="B5" activePane="bottomRight" state="frozen"/>
      <selection pane="topRight" activeCell="A1" sqref="A1"/>
      <selection pane="bottomLeft" activeCell="A1" sqref="A1"/>
      <selection pane="bottomRight" activeCell="B2" sqref="B2:F2"/>
    </sheetView>
  </sheetViews>
  <sheetFormatPr baseColWidth="10" defaultColWidth="8.83203125" defaultRowHeight="15" outlineLevelRow="1"/>
  <cols>
    <col width="3" customWidth="1" style="110" min="1" max="1"/>
    <col width="26" customWidth="1" style="110" min="2" max="2"/>
    <col width="14" customWidth="1" style="110" min="3" max="3"/>
    <col width="22" customWidth="1" style="110" min="4" max="4"/>
    <col width="55" customWidth="1" style="110" min="5" max="5"/>
    <col width="14" customWidth="1" style="110" min="6" max="6"/>
  </cols>
  <sheetData>
    <row r="1" ht="40" customHeight="1" s="110">
      <c r="A1" s="1" t="n"/>
      <c r="B1" s="145" t="inlineStr">
        <is>
          <t xml:space="preserve">  🕐 HISTÓRICO DE PROJETOS — Informações relevantes que o cliente compartilhou sobre o projeto</t>
        </is>
      </c>
    </row>
    <row r="2" ht="22" customHeight="1" s="110">
      <c r="A2" s="1" t="n"/>
      <c r="B2" s="148" t="inlineStr">
        <is>
          <t xml:space="preserve">  📅 Ordenar:  ▲ Crescente [Macro]    ▼ Decrescente [Macro]    🗑 Deletar eventos do projeto [Macro]</t>
        </is>
      </c>
    </row>
    <row r="3" ht="28" customHeight="1" s="110">
      <c r="A3" s="1" t="n"/>
      <c r="B3" s="2" t="inlineStr">
        <is>
          <t>Cliente</t>
        </is>
      </c>
      <c r="C3" s="2" t="inlineStr">
        <is>
          <t>GTB</t>
        </is>
      </c>
      <c r="D3" s="2" t="inlineStr">
        <is>
          <t>Tipo de Evento</t>
        </is>
      </c>
      <c r="E3" s="2" t="inlineStr">
        <is>
          <t>Descrição Detalhada</t>
        </is>
      </c>
      <c r="F3" s="2" t="inlineStr">
        <is>
          <t>Data do Evento</t>
        </is>
      </c>
    </row>
    <row r="4" ht="24" customHeight="1" s="110">
      <c r="A4" s="1" t="n"/>
      <c r="B4" s="149" t="inlineStr">
        <is>
          <t>▼  Dorf Ketal FY25   |   GTB50612</t>
        </is>
      </c>
    </row>
    <row r="5" outlineLevel="1" ht="55" customHeight="1" s="110">
      <c r="A5" s="1" t="n"/>
      <c r="B5" s="38" t="inlineStr">
        <is>
          <t>Dorf Ketal FY25</t>
        </is>
      </c>
      <c r="C5" s="39" t="inlineStr">
        <is>
          <t>GTB50612</t>
        </is>
      </c>
      <c r="D5" s="40" t="inlineStr">
        <is>
          <t>Início</t>
        </is>
      </c>
      <c r="E5" s="41" t="inlineStr">
        <is>
          <t>Projeto iniciado. Kick-off com cliente — revisão do escopo FY25. Transações identificadas: importação de químicos (R$ 18,5M), royalties (R$ 2,1M), management fees (R$ 850K).</t>
        </is>
      </c>
      <c r="F5" s="42" t="n">
        <v>46086</v>
      </c>
    </row>
    <row r="6" outlineLevel="1" ht="55" customHeight="1" s="110">
      <c r="A6" s="1" t="n"/>
      <c r="B6" s="43" t="inlineStr">
        <is>
          <t>Dorf Ketal FY25</t>
        </is>
      </c>
      <c r="C6" s="44" t="inlineStr">
        <is>
          <t>GTB50612</t>
        </is>
      </c>
      <c r="D6" s="45" t="inlineStr">
        <is>
          <t>Análise Funcional</t>
        </is>
      </c>
      <c r="E6" s="46" t="inlineStr">
        <is>
          <t>Concluída análise funcional e de riscos. Dorf Ketal Brasil classificada como distribuidor de risco limitado para importações e licenciado para royalties.</t>
        </is>
      </c>
      <c r="F6" s="47" t="n">
        <v>46101</v>
      </c>
    </row>
    <row r="7" outlineLevel="1" ht="55" customHeight="1" s="110">
      <c r="A7" s="1" t="n"/>
      <c r="B7" s="38" t="inlineStr">
        <is>
          <t>Dorf Ketal FY25</t>
        </is>
      </c>
      <c r="C7" s="39" t="inlineStr">
        <is>
          <t>GTB50612</t>
        </is>
      </c>
      <c r="D7" s="40" t="inlineStr">
        <is>
          <t>Benchmarking</t>
        </is>
      </c>
      <c r="E7" s="41" t="inlineStr">
        <is>
          <t>Iniciada seleção de comparáveis no BACH 2024. Foco em distribuidores de especialidades químicas na Europa com CAE 46.75. Critérios iniciais: margens de 3-25%, sem perdas, independência acima de 51%.</t>
        </is>
      </c>
      <c r="F7" s="42" t="n">
        <v>46122</v>
      </c>
    </row>
    <row r="8" outlineLevel="1" ht="55" customHeight="1" s="110">
      <c r="A8" s="1" t="n"/>
      <c r="B8" s="43" t="inlineStr">
        <is>
          <t>Dorf Ketal FY25</t>
        </is>
      </c>
      <c r="C8" s="44" t="inlineStr">
        <is>
          <t>GTB50612</t>
        </is>
      </c>
      <c r="D8" s="45" t="inlineStr">
        <is>
          <t>Benchmarking</t>
        </is>
      </c>
      <c r="E8" s="46" t="inlineStr">
        <is>
          <t>Seleção concluída: 31 empresas identificadas. Após filtros qualitativos: 23 comparáveis. IQR: 3,2% a 8,7% (MLu). Empresa fora do intervalo — ajuste necessário.</t>
        </is>
      </c>
      <c r="F8" s="47" t="n">
        <v>46157</v>
      </c>
    </row>
    <row r="9" outlineLevel="1" ht="55" customHeight="1" s="110">
      <c r="A9" s="1" t="n"/>
      <c r="B9" s="38" t="inlineStr">
        <is>
          <t>Dorf Ketal FY25</t>
        </is>
      </c>
      <c r="C9" s="39" t="inlineStr">
        <is>
          <t>GTB50612</t>
        </is>
      </c>
      <c r="D9" s="40" t="inlineStr">
        <is>
          <t>Relatório TP</t>
        </is>
      </c>
      <c r="E9" s="41" t="inlineStr">
        <is>
          <t>Iniciada elaboração do relatório de preços de transferência. Seções: descrição do negócio, análise funcional, métodos aplicados (PRL 20%, TNMM), análise econômica e conclusão.</t>
        </is>
      </c>
      <c r="F9" s="42" t="n">
        <v>46176</v>
      </c>
    </row>
    <row r="10" outlineLevel="1" ht="55" customHeight="1" s="110">
      <c r="A10" s="1" t="n"/>
      <c r="B10" s="43" t="inlineStr">
        <is>
          <t>Dorf Ketal FY25</t>
        </is>
      </c>
      <c r="C10" s="44" t="inlineStr">
        <is>
          <t>GTB50612</t>
        </is>
      </c>
      <c r="D10" s="45" t="inlineStr">
        <is>
          <t>ECF Bloco X</t>
        </is>
      </c>
      <c r="E10" s="46" t="inlineStr">
        <is>
          <t>ECF Bloco X concluída e enviada ao cliente. Revisão do gerente João Silva concluída sem ressalvas. Cliente confirmou envio à Receita Federal dentro do prazo.</t>
        </is>
      </c>
      <c r="F10" s="47" t="n">
        <v>46218</v>
      </c>
    </row>
    <row r="11" outlineLevel="1" ht="55" customHeight="1" s="110">
      <c r="A11" s="1" t="n"/>
      <c r="B11" s="38" t="inlineStr">
        <is>
          <t>Dorf Ketal FY25</t>
        </is>
      </c>
      <c r="C11" s="39" t="inlineStr">
        <is>
          <t>GTB50612</t>
        </is>
      </c>
      <c r="D11" s="40" t="inlineStr">
        <is>
          <t>Master File</t>
        </is>
      </c>
      <c r="E11" s="41" t="inlineStr">
        <is>
          <t>Enviado primeiro e-mail de solicitação do Master File. Explicação sobre documentação exigida pela IN 1312/2012: relatório formal do grupo ou Country-by-Country Report.</t>
        </is>
      </c>
      <c r="F11" s="42" t="n">
        <v>46239</v>
      </c>
    </row>
    <row r="12" outlineLevel="1" ht="55" customHeight="1" s="110">
      <c r="A12" s="1" t="n"/>
      <c r="B12" s="43" t="inlineStr">
        <is>
          <t>Dorf Ketal FY25</t>
        </is>
      </c>
      <c r="C12" s="44" t="inlineStr">
        <is>
          <t>GTB50612</t>
        </is>
      </c>
      <c r="D12" s="45" t="inlineStr">
        <is>
          <t>Master File</t>
        </is>
      </c>
      <c r="E12" s="46" t="inlineStr">
        <is>
          <t>Cliente enviou arquivo Excel como Master File — não aceito. Juan orientou que precisamos do relatório formal. Enviado e-mail explicativo com referência à legislação aplicável. Risco de atraso no LF.</t>
        </is>
      </c>
      <c r="F12" s="47" t="n">
        <v>46253</v>
      </c>
    </row>
    <row r="13" ht="24" customHeight="1" s="110">
      <c r="A13" s="1" t="n"/>
      <c r="B13" s="149" t="inlineStr">
        <is>
          <t>▼  BMW FY26   |   GTB55638</t>
        </is>
      </c>
    </row>
    <row r="14" outlineLevel="1" ht="55" customHeight="1" s="110">
      <c r="A14" s="1" t="n"/>
      <c r="B14" s="43" t="inlineStr">
        <is>
          <t>BMW FY26</t>
        </is>
      </c>
      <c r="C14" s="44" t="inlineStr">
        <is>
          <t>GTB55638</t>
        </is>
      </c>
      <c r="D14" s="45" t="inlineStr">
        <is>
          <t>Início</t>
        </is>
      </c>
      <c r="E14" s="46" t="inlineStr">
        <is>
          <t>Projeto BMW FY26 iniciado. Duas entidades: BMW do Brasil Ltda. (distribuição) GTB55638 e BMW Financial Services (financiamento) GTB60818. E-mail de boas-vindas enviado.</t>
        </is>
      </c>
      <c r="F14" s="47" t="n">
        <v>46251</v>
      </c>
    </row>
    <row r="15" outlineLevel="1" ht="55" customHeight="1" s="110">
      <c r="A15" s="1" t="n"/>
      <c r="B15" s="38" t="inlineStr">
        <is>
          <t>BMW FY26</t>
        </is>
      </c>
      <c r="C15" s="39" t="inlineStr">
        <is>
          <t>GTB55638</t>
        </is>
      </c>
      <c r="D15" s="40" t="inlineStr">
        <is>
          <t>Estratégia</t>
        </is>
      </c>
      <c r="E15" s="41" t="inlineStr">
        <is>
          <t>Reunião interna: discussão sobre metodologia para importação CKD. Opções: PCI (preço de revenda) ou TNMM (margem líquida). Decisão pendente com o sócio — impacto significativo no resultado.</t>
        </is>
      </c>
      <c r="F15" s="42" t="n">
        <v>46252</v>
      </c>
    </row>
    <row r="16">
      <c r="A16" s="1" t="n"/>
      <c r="B16" s="1" t="n"/>
      <c r="C16" s="1" t="n"/>
      <c r="D16" s="1" t="n"/>
      <c r="E16" s="1" t="n"/>
      <c r="F16" s="1" t="n"/>
    </row>
    <row r="17">
      <c r="A17" s="1" t="n"/>
      <c r="B17" s="1" t="n"/>
      <c r="C17" s="1" t="n"/>
      <c r="D17" s="1" t="n"/>
      <c r="E17" s="1" t="n"/>
      <c r="F17" s="1" t="n"/>
    </row>
    <row r="18">
      <c r="A18" s="1" t="n"/>
      <c r="B18" s="1" t="n"/>
      <c r="C18" s="1" t="n"/>
      <c r="D18" s="1" t="n"/>
      <c r="E18" s="1" t="n"/>
      <c r="F18" s="1" t="n"/>
    </row>
    <row r="19">
      <c r="A19" s="1" t="n"/>
      <c r="B19" s="1" t="n"/>
      <c r="C19" s="1" t="n"/>
      <c r="D19" s="1" t="n"/>
      <c r="E19" s="1" t="n"/>
      <c r="F19" s="1" t="n"/>
    </row>
    <row r="20">
      <c r="A20" s="1" t="n"/>
      <c r="B20" s="1" t="n"/>
      <c r="C20" s="1" t="n"/>
      <c r="D20" s="1" t="n"/>
      <c r="E20" s="1" t="n"/>
      <c r="F20" s="1" t="n"/>
    </row>
    <row r="21">
      <c r="A21" s="1" t="n"/>
      <c r="B21" s="1" t="n"/>
      <c r="C21" s="1" t="n"/>
      <c r="D21" s="1" t="n"/>
      <c r="E21" s="1" t="n"/>
      <c r="F21" s="1" t="n"/>
    </row>
    <row r="22">
      <c r="A22" s="1" t="n"/>
      <c r="B22" s="1" t="n"/>
      <c r="C22" s="1" t="n"/>
      <c r="D22" s="1" t="n"/>
      <c r="E22" s="1" t="n"/>
      <c r="F22" s="1" t="n"/>
    </row>
    <row r="23">
      <c r="A23" s="1" t="n"/>
      <c r="B23" s="1" t="n"/>
      <c r="C23" s="1" t="n"/>
      <c r="D23" s="1" t="n"/>
      <c r="E23" s="1" t="n"/>
      <c r="F23" s="1" t="n"/>
    </row>
    <row r="24">
      <c r="A24" s="1" t="n"/>
      <c r="B24" s="1" t="n"/>
      <c r="C24" s="1" t="n"/>
      <c r="D24" s="1" t="n"/>
      <c r="E24" s="1" t="n"/>
      <c r="F24" s="1" t="n"/>
    </row>
    <row r="25">
      <c r="A25" s="1" t="n"/>
      <c r="B25" s="1" t="n"/>
      <c r="C25" s="1" t="n"/>
      <c r="D25" s="1" t="n"/>
      <c r="E25" s="1" t="n"/>
      <c r="F25" s="1" t="n"/>
    </row>
    <row r="26">
      <c r="A26" s="1" t="n"/>
      <c r="B26" s="1" t="n"/>
      <c r="C26" s="1" t="n"/>
      <c r="D26" s="1" t="n"/>
      <c r="E26" s="1" t="n"/>
      <c r="F26" s="1" t="n"/>
    </row>
    <row r="27">
      <c r="A27" s="1" t="n"/>
      <c r="B27" s="1" t="n"/>
      <c r="C27" s="1" t="n"/>
      <c r="D27" s="1" t="n"/>
      <c r="E27" s="1" t="n"/>
      <c r="F27" s="1" t="n"/>
    </row>
    <row r="28">
      <c r="A28" s="1" t="n"/>
      <c r="B28" s="1" t="n"/>
      <c r="C28" s="1" t="n"/>
      <c r="D28" s="1" t="n"/>
      <c r="E28" s="1" t="n"/>
      <c r="F28" s="1" t="n"/>
    </row>
    <row r="29">
      <c r="A29" s="1" t="n"/>
      <c r="B29" s="1" t="n"/>
      <c r="C29" s="1" t="n"/>
      <c r="D29" s="1" t="n"/>
      <c r="E29" s="1" t="n"/>
      <c r="F29" s="1" t="n"/>
    </row>
    <row r="30">
      <c r="A30" s="1" t="n"/>
      <c r="B30" s="1" t="n"/>
      <c r="C30" s="1" t="n"/>
      <c r="D30" s="1" t="n"/>
      <c r="E30" s="1" t="n"/>
      <c r="F30" s="1" t="n"/>
    </row>
    <row r="31">
      <c r="A31" s="1" t="n"/>
      <c r="B31" s="1" t="n"/>
      <c r="C31" s="1" t="n"/>
      <c r="D31" s="1" t="n"/>
      <c r="E31" s="1" t="n"/>
      <c r="F31" s="1" t="n"/>
    </row>
    <row r="32">
      <c r="A32" s="1" t="n"/>
      <c r="B32" s="1" t="n"/>
      <c r="C32" s="1" t="n"/>
      <c r="D32" s="1" t="n"/>
      <c r="E32" s="1" t="n"/>
      <c r="F32" s="1" t="n"/>
    </row>
    <row r="33">
      <c r="A33" s="1" t="n"/>
      <c r="B33" s="1" t="n"/>
      <c r="C33" s="1" t="n"/>
      <c r="D33" s="1" t="n"/>
      <c r="E33" s="1" t="n"/>
      <c r="F33" s="1" t="n"/>
    </row>
    <row r="34">
      <c r="A34" s="1" t="n"/>
      <c r="B34" s="1" t="n"/>
      <c r="C34" s="1" t="n"/>
      <c r="D34" s="1" t="n"/>
      <c r="E34" s="1" t="n"/>
      <c r="F34" s="1" t="n"/>
    </row>
    <row r="35">
      <c r="A35" s="1" t="n"/>
      <c r="B35" s="1" t="n"/>
      <c r="C35" s="1" t="n"/>
      <c r="D35" s="1" t="n"/>
      <c r="E35" s="1" t="n"/>
      <c r="F35" s="1" t="n"/>
    </row>
    <row r="36">
      <c r="A36" s="1" t="n"/>
      <c r="B36" s="1" t="n"/>
      <c r="C36" s="1" t="n"/>
      <c r="D36" s="1" t="n"/>
      <c r="E36" s="1" t="n"/>
      <c r="F36" s="1" t="n"/>
    </row>
    <row r="37">
      <c r="A37" s="1" t="n"/>
      <c r="B37" s="1" t="n"/>
      <c r="C37" s="1" t="n"/>
      <c r="D37" s="1" t="n"/>
      <c r="E37" s="1" t="n"/>
      <c r="F37" s="1" t="n"/>
    </row>
    <row r="38">
      <c r="A38" s="1" t="n"/>
      <c r="B38" s="1" t="n"/>
      <c r="C38" s="1" t="n"/>
      <c r="D38" s="1" t="n"/>
      <c r="E38" s="1" t="n"/>
      <c r="F38" s="1" t="n"/>
    </row>
    <row r="39">
      <c r="A39" s="1" t="n"/>
      <c r="B39" s="1" t="n"/>
      <c r="C39" s="1" t="n"/>
      <c r="D39" s="1" t="n"/>
      <c r="E39" s="1" t="n"/>
      <c r="F39" s="1" t="n"/>
    </row>
    <row r="40">
      <c r="A40" s="1" t="n"/>
      <c r="B40" s="1" t="n"/>
      <c r="C40" s="1" t="n"/>
      <c r="D40" s="1" t="n"/>
      <c r="E40" s="1" t="n"/>
      <c r="F40" s="1" t="n"/>
    </row>
    <row r="41">
      <c r="A41" s="1" t="n"/>
      <c r="B41" s="1" t="n"/>
      <c r="C41" s="1" t="n"/>
      <c r="D41" s="1" t="n"/>
      <c r="E41" s="1" t="n"/>
      <c r="F41" s="1" t="n"/>
    </row>
    <row r="42">
      <c r="A42" s="1" t="n"/>
      <c r="B42" s="1" t="n"/>
      <c r="C42" s="1" t="n"/>
      <c r="D42" s="1" t="n"/>
      <c r="E42" s="1" t="n"/>
      <c r="F42" s="1" t="n"/>
    </row>
    <row r="43">
      <c r="A43" s="1" t="n"/>
      <c r="B43" s="1" t="n"/>
      <c r="C43" s="1" t="n"/>
      <c r="D43" s="1" t="n"/>
      <c r="E43" s="1" t="n"/>
      <c r="F43" s="1" t="n"/>
    </row>
    <row r="44">
      <c r="A44" s="1" t="n"/>
      <c r="B44" s="1" t="n"/>
      <c r="C44" s="1" t="n"/>
      <c r="D44" s="1" t="n"/>
      <c r="E44" s="1" t="n"/>
      <c r="F44" s="1" t="n"/>
    </row>
    <row r="45">
      <c r="A45" s="1" t="n"/>
      <c r="B45" s="1" t="n"/>
      <c r="C45" s="1" t="n"/>
      <c r="D45" s="1" t="n"/>
      <c r="E45" s="1" t="n"/>
      <c r="F45" s="1" t="n"/>
    </row>
    <row r="46">
      <c r="A46" s="1" t="n"/>
      <c r="B46" s="1" t="n"/>
      <c r="C46" s="1" t="n"/>
      <c r="D46" s="1" t="n"/>
      <c r="E46" s="1" t="n"/>
      <c r="F46" s="1" t="n"/>
    </row>
    <row r="47">
      <c r="A47" s="1" t="n"/>
      <c r="B47" s="1" t="n"/>
      <c r="C47" s="1" t="n"/>
      <c r="D47" s="1" t="n"/>
      <c r="E47" s="1" t="n"/>
      <c r="F47" s="1" t="n"/>
    </row>
    <row r="48">
      <c r="A48" s="1" t="n"/>
      <c r="B48" s="1" t="n"/>
      <c r="C48" s="1" t="n"/>
      <c r="D48" s="1" t="n"/>
      <c r="E48" s="1" t="n"/>
      <c r="F48" s="1" t="n"/>
    </row>
    <row r="49">
      <c r="A49" s="1" t="n"/>
      <c r="B49" s="1" t="n"/>
      <c r="C49" s="1" t="n"/>
      <c r="D49" s="1" t="n"/>
      <c r="E49" s="1" t="n"/>
      <c r="F49" s="1" t="n"/>
    </row>
    <row r="50">
      <c r="A50" s="1" t="n"/>
      <c r="B50" s="1" t="n"/>
      <c r="C50" s="1" t="n"/>
      <c r="D50" s="1" t="n"/>
      <c r="E50" s="1" t="n"/>
      <c r="F50" s="1" t="n"/>
    </row>
    <row r="51">
      <c r="A51" s="1" t="n"/>
      <c r="B51" s="1" t="n"/>
      <c r="C51" s="1" t="n"/>
      <c r="D51" s="1" t="n"/>
      <c r="E51" s="1" t="n"/>
      <c r="F51" s="1" t="n"/>
    </row>
    <row r="52">
      <c r="A52" s="1" t="n"/>
      <c r="B52" s="1" t="n"/>
      <c r="C52" s="1" t="n"/>
      <c r="D52" s="1" t="n"/>
      <c r="E52" s="1" t="n"/>
      <c r="F52" s="1" t="n"/>
    </row>
    <row r="53">
      <c r="A53" s="1" t="n"/>
      <c r="B53" s="1" t="n"/>
      <c r="C53" s="1" t="n"/>
      <c r="D53" s="1" t="n"/>
      <c r="E53" s="1" t="n"/>
      <c r="F53" s="1" t="n"/>
    </row>
    <row r="54">
      <c r="A54" s="1" t="n"/>
      <c r="B54" s="1" t="n"/>
      <c r="C54" s="1" t="n"/>
      <c r="D54" s="1" t="n"/>
      <c r="E54" s="1" t="n"/>
      <c r="F54" s="1" t="n"/>
    </row>
    <row r="55">
      <c r="A55" s="1" t="n"/>
      <c r="B55" s="1" t="n"/>
      <c r="C55" s="1" t="n"/>
      <c r="D55" s="1" t="n"/>
      <c r="E55" s="1" t="n"/>
      <c r="F55" s="1" t="n"/>
    </row>
    <row r="56">
      <c r="A56" s="1" t="n"/>
      <c r="B56" s="1" t="n"/>
      <c r="C56" s="1" t="n"/>
      <c r="D56" s="1" t="n"/>
      <c r="E56" s="1" t="n"/>
      <c r="F56" s="1" t="n"/>
    </row>
    <row r="57">
      <c r="A57" s="1" t="n"/>
      <c r="B57" s="1" t="n"/>
      <c r="C57" s="1" t="n"/>
      <c r="D57" s="1" t="n"/>
      <c r="E57" s="1" t="n"/>
      <c r="F57" s="1" t="n"/>
    </row>
    <row r="58">
      <c r="A58" s="1" t="n"/>
      <c r="B58" s="1" t="n"/>
      <c r="C58" s="1" t="n"/>
      <c r="D58" s="1" t="n"/>
      <c r="E58" s="1" t="n"/>
      <c r="F58" s="1" t="n"/>
    </row>
    <row r="59">
      <c r="A59" s="1" t="n"/>
      <c r="B59" s="1" t="n"/>
      <c r="C59" s="1" t="n"/>
      <c r="D59" s="1" t="n"/>
      <c r="E59" s="1" t="n"/>
      <c r="F59" s="1" t="n"/>
    </row>
    <row r="60">
      <c r="A60" s="1" t="n"/>
      <c r="B60" s="1" t="n"/>
      <c r="C60" s="1" t="n"/>
      <c r="D60" s="1" t="n"/>
      <c r="E60" s="1" t="n"/>
      <c r="F60" s="1" t="n"/>
    </row>
    <row r="61">
      <c r="A61" s="1" t="n"/>
      <c r="B61" s="1" t="n"/>
      <c r="C61" s="1" t="n"/>
      <c r="D61" s="1" t="n"/>
      <c r="E61" s="1" t="n"/>
      <c r="F61" s="1" t="n"/>
    </row>
    <row r="62">
      <c r="A62" s="1" t="n"/>
      <c r="B62" s="1" t="n"/>
      <c r="C62" s="1" t="n"/>
      <c r="D62" s="1" t="n"/>
      <c r="E62" s="1" t="n"/>
      <c r="F62" s="1" t="n"/>
    </row>
    <row r="63">
      <c r="A63" s="1" t="n"/>
      <c r="B63" s="1" t="n"/>
      <c r="C63" s="1" t="n"/>
      <c r="D63" s="1" t="n"/>
      <c r="E63" s="1" t="n"/>
      <c r="F63" s="1" t="n"/>
    </row>
    <row r="64">
      <c r="A64" s="1" t="n"/>
      <c r="B64" s="1" t="n"/>
      <c r="C64" s="1" t="n"/>
      <c r="D64" s="1" t="n"/>
      <c r="E64" s="1" t="n"/>
      <c r="F64" s="1" t="n"/>
    </row>
    <row r="65">
      <c r="A65" s="1" t="n"/>
      <c r="B65" s="1" t="n"/>
      <c r="C65" s="1" t="n"/>
      <c r="D65" s="1" t="n"/>
      <c r="E65" s="1" t="n"/>
      <c r="F65" s="1" t="n"/>
    </row>
    <row r="66">
      <c r="A66" s="1" t="n"/>
      <c r="B66" s="1" t="n"/>
      <c r="C66" s="1" t="n"/>
      <c r="D66" s="1" t="n"/>
      <c r="E66" s="1" t="n"/>
      <c r="F66" s="1" t="n"/>
    </row>
    <row r="67">
      <c r="A67" s="1" t="n"/>
      <c r="B67" s="1" t="n"/>
      <c r="C67" s="1" t="n"/>
      <c r="D67" s="1" t="n"/>
      <c r="E67" s="1" t="n"/>
      <c r="F67" s="1" t="n"/>
    </row>
    <row r="68">
      <c r="A68" s="1" t="n"/>
      <c r="B68" s="1" t="n"/>
      <c r="C68" s="1" t="n"/>
      <c r="D68" s="1" t="n"/>
      <c r="E68" s="1" t="n"/>
      <c r="F68" s="1" t="n"/>
    </row>
    <row r="69">
      <c r="A69" s="1" t="n"/>
      <c r="B69" s="1" t="n"/>
      <c r="C69" s="1" t="n"/>
      <c r="D69" s="1" t="n"/>
      <c r="E69" s="1" t="n"/>
      <c r="F69" s="1" t="n"/>
    </row>
    <row r="70">
      <c r="A70" s="1" t="n"/>
      <c r="B70" s="1" t="n"/>
      <c r="C70" s="1" t="n"/>
      <c r="D70" s="1" t="n"/>
      <c r="E70" s="1" t="n"/>
      <c r="F70" s="1" t="n"/>
    </row>
    <row r="71">
      <c r="A71" s="1" t="n"/>
      <c r="B71" s="1" t="n"/>
      <c r="C71" s="1" t="n"/>
      <c r="D71" s="1" t="n"/>
      <c r="E71" s="1" t="n"/>
      <c r="F71" s="1" t="n"/>
    </row>
    <row r="72">
      <c r="A72" s="1" t="n"/>
      <c r="B72" s="1" t="n"/>
      <c r="C72" s="1" t="n"/>
      <c r="D72" s="1" t="n"/>
      <c r="E72" s="1" t="n"/>
      <c r="F72" s="1" t="n"/>
    </row>
    <row r="73">
      <c r="A73" s="1" t="n"/>
      <c r="B73" s="1" t="n"/>
      <c r="C73" s="1" t="n"/>
      <c r="D73" s="1" t="n"/>
      <c r="E73" s="1" t="n"/>
      <c r="F73" s="1" t="n"/>
    </row>
    <row r="74">
      <c r="A74" s="1" t="n"/>
      <c r="B74" s="1" t="n"/>
      <c r="C74" s="1" t="n"/>
      <c r="D74" s="1" t="n"/>
      <c r="E74" s="1" t="n"/>
      <c r="F74" s="1" t="n"/>
    </row>
    <row r="75">
      <c r="A75" s="1" t="n"/>
      <c r="B75" s="1" t="n"/>
      <c r="C75" s="1" t="n"/>
      <c r="D75" s="1" t="n"/>
      <c r="E75" s="1" t="n"/>
      <c r="F75" s="1" t="n"/>
    </row>
    <row r="76">
      <c r="A76" s="1" t="n"/>
      <c r="B76" s="1" t="n"/>
      <c r="C76" s="1" t="n"/>
      <c r="D76" s="1" t="n"/>
      <c r="E76" s="1" t="n"/>
      <c r="F76" s="1" t="n"/>
    </row>
    <row r="77">
      <c r="A77" s="1" t="n"/>
      <c r="B77" s="1" t="n"/>
      <c r="C77" s="1" t="n"/>
      <c r="D77" s="1" t="n"/>
      <c r="E77" s="1" t="n"/>
      <c r="F77" s="1" t="n"/>
    </row>
    <row r="78">
      <c r="A78" s="1" t="n"/>
      <c r="B78" s="1" t="n"/>
      <c r="C78" s="1" t="n"/>
      <c r="D78" s="1" t="n"/>
      <c r="E78" s="1" t="n"/>
      <c r="F78" s="1" t="n"/>
    </row>
    <row r="79">
      <c r="A79" s="1" t="n"/>
      <c r="B79" s="1" t="n"/>
      <c r="C79" s="1" t="n"/>
      <c r="D79" s="1" t="n"/>
      <c r="E79" s="1" t="n"/>
      <c r="F79" s="1" t="n"/>
    </row>
    <row r="80">
      <c r="A80" s="1" t="n"/>
      <c r="B80" s="1" t="n"/>
      <c r="C80" s="1" t="n"/>
      <c r="D80" s="1" t="n"/>
      <c r="E80" s="1" t="n"/>
      <c r="F80" s="1" t="n"/>
    </row>
    <row r="81">
      <c r="A81" s="1" t="n"/>
      <c r="B81" s="1" t="n"/>
      <c r="C81" s="1" t="n"/>
      <c r="D81" s="1" t="n"/>
      <c r="E81" s="1" t="n"/>
      <c r="F81" s="1" t="n"/>
    </row>
    <row r="82">
      <c r="A82" s="1" t="n"/>
      <c r="B82" s="1" t="n"/>
      <c r="C82" s="1" t="n"/>
      <c r="D82" s="1" t="n"/>
      <c r="E82" s="1" t="n"/>
      <c r="F82" s="1" t="n"/>
    </row>
    <row r="83">
      <c r="A83" s="1" t="n"/>
      <c r="B83" s="1" t="n"/>
      <c r="C83" s="1" t="n"/>
      <c r="D83" s="1" t="n"/>
      <c r="E83" s="1" t="n"/>
      <c r="F83" s="1" t="n"/>
    </row>
    <row r="84">
      <c r="A84" s="1" t="n"/>
      <c r="B84" s="1" t="n"/>
      <c r="C84" s="1" t="n"/>
      <c r="D84" s="1" t="n"/>
      <c r="E84" s="1" t="n"/>
      <c r="F84" s="1" t="n"/>
    </row>
    <row r="85">
      <c r="A85" s="1" t="n"/>
      <c r="B85" s="1" t="n"/>
      <c r="C85" s="1" t="n"/>
      <c r="D85" s="1" t="n"/>
      <c r="E85" s="1" t="n"/>
      <c r="F85" s="1" t="n"/>
    </row>
    <row r="86">
      <c r="A86" s="1" t="n"/>
      <c r="B86" s="1" t="n"/>
      <c r="C86" s="1" t="n"/>
      <c r="D86" s="1" t="n"/>
      <c r="E86" s="1" t="n"/>
      <c r="F86" s="1" t="n"/>
    </row>
    <row r="87">
      <c r="A87" s="1" t="n"/>
      <c r="B87" s="1" t="n"/>
      <c r="C87" s="1" t="n"/>
      <c r="D87" s="1" t="n"/>
      <c r="E87" s="1" t="n"/>
      <c r="F87" s="1" t="n"/>
    </row>
    <row r="88">
      <c r="A88" s="1" t="n"/>
      <c r="B88" s="1" t="n"/>
      <c r="C88" s="1" t="n"/>
      <c r="D88" s="1" t="n"/>
      <c r="E88" s="1" t="n"/>
      <c r="F88" s="1" t="n"/>
    </row>
    <row r="89">
      <c r="A89" s="1" t="n"/>
      <c r="B89" s="1" t="n"/>
      <c r="C89" s="1" t="n"/>
      <c r="D89" s="1" t="n"/>
      <c r="E89" s="1" t="n"/>
      <c r="F89" s="1" t="n"/>
    </row>
    <row r="90">
      <c r="A90" s="1" t="n"/>
      <c r="B90" s="1" t="n"/>
      <c r="C90" s="1" t="n"/>
      <c r="D90" s="1" t="n"/>
      <c r="E90" s="1" t="n"/>
      <c r="F90" s="1" t="n"/>
    </row>
    <row r="91">
      <c r="A91" s="1" t="n"/>
      <c r="B91" s="1" t="n"/>
      <c r="C91" s="1" t="n"/>
      <c r="D91" s="1" t="n"/>
      <c r="E91" s="1" t="n"/>
      <c r="F91" s="1" t="n"/>
    </row>
    <row r="92">
      <c r="A92" s="1" t="n"/>
      <c r="B92" s="1" t="n"/>
      <c r="C92" s="1" t="n"/>
      <c r="D92" s="1" t="n"/>
      <c r="E92" s="1" t="n"/>
      <c r="F92" s="1" t="n"/>
    </row>
    <row r="93">
      <c r="A93" s="1" t="n"/>
      <c r="B93" s="1" t="n"/>
      <c r="C93" s="1" t="n"/>
      <c r="D93" s="1" t="n"/>
      <c r="E93" s="1" t="n"/>
      <c r="F93" s="1" t="n"/>
    </row>
    <row r="94">
      <c r="A94" s="1" t="n"/>
      <c r="B94" s="1" t="n"/>
      <c r="C94" s="1" t="n"/>
      <c r="D94" s="1" t="n"/>
      <c r="E94" s="1" t="n"/>
      <c r="F94" s="1" t="n"/>
    </row>
    <row r="95">
      <c r="A95" s="1" t="n"/>
      <c r="B95" s="1" t="n"/>
      <c r="C95" s="1" t="n"/>
      <c r="D95" s="1" t="n"/>
      <c r="E95" s="1" t="n"/>
      <c r="F95" s="1" t="n"/>
    </row>
    <row r="96">
      <c r="A96" s="1" t="n"/>
      <c r="B96" s="1" t="n"/>
      <c r="C96" s="1" t="n"/>
      <c r="D96" s="1" t="n"/>
      <c r="E96" s="1" t="n"/>
      <c r="F96" s="1" t="n"/>
    </row>
    <row r="97">
      <c r="A97" s="1" t="n"/>
      <c r="B97" s="1" t="n"/>
      <c r="C97" s="1" t="n"/>
      <c r="D97" s="1" t="n"/>
      <c r="E97" s="1" t="n"/>
      <c r="F97" s="1" t="n"/>
    </row>
    <row r="98">
      <c r="A98" s="1" t="n"/>
      <c r="B98" s="1" t="n"/>
      <c r="C98" s="1" t="n"/>
      <c r="D98" s="1" t="n"/>
      <c r="E98" s="1" t="n"/>
      <c r="F98" s="1" t="n"/>
    </row>
    <row r="99">
      <c r="A99" s="1" t="n"/>
      <c r="B99" s="1" t="n"/>
      <c r="C99" s="1" t="n"/>
      <c r="D99" s="1" t="n"/>
      <c r="E99" s="1" t="n"/>
      <c r="F99" s="1" t="n"/>
    </row>
    <row r="100">
      <c r="A100" s="1" t="n"/>
      <c r="B100" s="1" t="n"/>
      <c r="C100" s="1" t="n"/>
      <c r="D100" s="1" t="n"/>
      <c r="E100" s="1" t="n"/>
      <c r="F100" s="1" t="n"/>
    </row>
    <row r="101">
      <c r="A101" s="1" t="n"/>
      <c r="B101" s="1" t="n"/>
      <c r="C101" s="1" t="n"/>
      <c r="D101" s="1" t="n"/>
      <c r="E101" s="1" t="n"/>
      <c r="F101" s="1" t="n"/>
    </row>
    <row r="102">
      <c r="A102" s="1" t="n"/>
      <c r="B102" s="1" t="n"/>
      <c r="C102" s="1" t="n"/>
      <c r="D102" s="1" t="n"/>
      <c r="E102" s="1" t="n"/>
      <c r="F102" s="1" t="n"/>
    </row>
    <row r="103">
      <c r="A103" s="1" t="n"/>
      <c r="B103" s="1" t="n"/>
      <c r="C103" s="1" t="n"/>
      <c r="D103" s="1" t="n"/>
      <c r="E103" s="1" t="n"/>
      <c r="F103" s="1" t="n"/>
    </row>
    <row r="104">
      <c r="A104" s="1" t="n"/>
      <c r="B104" s="1" t="n"/>
      <c r="C104" s="1" t="n"/>
      <c r="D104" s="1" t="n"/>
      <c r="E104" s="1" t="n"/>
      <c r="F104" s="1" t="n"/>
    </row>
    <row r="105">
      <c r="A105" s="1" t="n"/>
      <c r="B105" s="1" t="n"/>
      <c r="C105" s="1" t="n"/>
      <c r="D105" s="1" t="n"/>
      <c r="E105" s="1" t="n"/>
      <c r="F105" s="1" t="n"/>
    </row>
    <row r="106">
      <c r="A106" s="1" t="n"/>
      <c r="B106" s="1" t="n"/>
      <c r="C106" s="1" t="n"/>
      <c r="D106" s="1" t="n"/>
      <c r="E106" s="1" t="n"/>
      <c r="F106" s="1" t="n"/>
    </row>
    <row r="107">
      <c r="A107" s="1" t="n"/>
      <c r="B107" s="1" t="n"/>
      <c r="C107" s="1" t="n"/>
      <c r="D107" s="1" t="n"/>
      <c r="E107" s="1" t="n"/>
      <c r="F107" s="1" t="n"/>
    </row>
    <row r="108">
      <c r="A108" s="1" t="n"/>
      <c r="B108" s="1" t="n"/>
      <c r="C108" s="1" t="n"/>
      <c r="D108" s="1" t="n"/>
      <c r="E108" s="1" t="n"/>
      <c r="F108" s="1" t="n"/>
    </row>
    <row r="109">
      <c r="A109" s="1" t="n"/>
      <c r="B109" s="1" t="n"/>
      <c r="C109" s="1" t="n"/>
      <c r="D109" s="1" t="n"/>
      <c r="E109" s="1" t="n"/>
      <c r="F109" s="1" t="n"/>
    </row>
    <row r="110">
      <c r="A110" s="1" t="n"/>
      <c r="B110" s="1" t="n"/>
      <c r="C110" s="1" t="n"/>
      <c r="D110" s="1" t="n"/>
      <c r="E110" s="1" t="n"/>
      <c r="F110" s="1" t="n"/>
    </row>
    <row r="111">
      <c r="A111" s="1" t="n"/>
      <c r="B111" s="1" t="n"/>
      <c r="C111" s="1" t="n"/>
      <c r="D111" s="1" t="n"/>
      <c r="E111" s="1" t="n"/>
      <c r="F111" s="1" t="n"/>
    </row>
    <row r="112">
      <c r="A112" s="1" t="n"/>
      <c r="B112" s="1" t="n"/>
      <c r="C112" s="1" t="n"/>
      <c r="D112" s="1" t="n"/>
      <c r="E112" s="1" t="n"/>
      <c r="F112" s="1" t="n"/>
    </row>
    <row r="113">
      <c r="A113" s="1" t="n"/>
      <c r="B113" s="1" t="n"/>
      <c r="C113" s="1" t="n"/>
      <c r="D113" s="1" t="n"/>
      <c r="E113" s="1" t="n"/>
      <c r="F113" s="1" t="n"/>
    </row>
    <row r="114">
      <c r="A114" s="1" t="n"/>
      <c r="B114" s="1" t="n"/>
      <c r="C114" s="1" t="n"/>
      <c r="D114" s="1" t="n"/>
      <c r="E114" s="1" t="n"/>
      <c r="F114" s="1" t="n"/>
    </row>
    <row r="115">
      <c r="A115" s="1" t="n"/>
      <c r="B115" s="1" t="n"/>
      <c r="C115" s="1" t="n"/>
      <c r="D115" s="1" t="n"/>
      <c r="E115" s="1" t="n"/>
      <c r="F115" s="1" t="n"/>
    </row>
    <row r="116">
      <c r="A116" s="1" t="n"/>
      <c r="B116" s="1" t="n"/>
      <c r="C116" s="1" t="n"/>
      <c r="D116" s="1" t="n"/>
      <c r="E116" s="1" t="n"/>
      <c r="F116" s="1" t="n"/>
    </row>
    <row r="117">
      <c r="A117" s="1" t="n"/>
      <c r="B117" s="1" t="n"/>
      <c r="C117" s="1" t="n"/>
      <c r="D117" s="1" t="n"/>
      <c r="E117" s="1" t="n"/>
      <c r="F117" s="1" t="n"/>
    </row>
    <row r="118">
      <c r="A118" s="1" t="n"/>
      <c r="B118" s="1" t="n"/>
      <c r="C118" s="1" t="n"/>
      <c r="D118" s="1" t="n"/>
      <c r="E118" s="1" t="n"/>
      <c r="F118" s="1" t="n"/>
    </row>
    <row r="119">
      <c r="A119" s="1" t="n"/>
      <c r="B119" s="1" t="n"/>
      <c r="C119" s="1" t="n"/>
      <c r="D119" s="1" t="n"/>
      <c r="E119" s="1" t="n"/>
      <c r="F119" s="1" t="n"/>
    </row>
    <row r="120">
      <c r="A120" s="1" t="n"/>
      <c r="B120" s="1" t="n"/>
      <c r="C120" s="1" t="n"/>
      <c r="D120" s="1" t="n"/>
      <c r="E120" s="1" t="n"/>
      <c r="F120" s="1" t="n"/>
    </row>
    <row r="121">
      <c r="A121" s="1" t="n"/>
      <c r="B121" s="1" t="n"/>
      <c r="C121" s="1" t="n"/>
      <c r="D121" s="1" t="n"/>
      <c r="E121" s="1" t="n"/>
      <c r="F121" s="1" t="n"/>
    </row>
    <row r="122">
      <c r="A122" s="1" t="n"/>
      <c r="B122" s="1" t="n"/>
      <c r="C122" s="1" t="n"/>
      <c r="D122" s="1" t="n"/>
      <c r="E122" s="1" t="n"/>
      <c r="F122" s="1" t="n"/>
    </row>
    <row r="123">
      <c r="A123" s="1" t="n"/>
      <c r="B123" s="1" t="n"/>
      <c r="C123" s="1" t="n"/>
      <c r="D123" s="1" t="n"/>
      <c r="E123" s="1" t="n"/>
      <c r="F123" s="1" t="n"/>
    </row>
    <row r="124">
      <c r="A124" s="1" t="n"/>
      <c r="B124" s="1" t="n"/>
      <c r="C124" s="1" t="n"/>
      <c r="D124" s="1" t="n"/>
      <c r="E124" s="1" t="n"/>
      <c r="F124" s="1" t="n"/>
    </row>
    <row r="125">
      <c r="A125" s="1" t="n"/>
      <c r="B125" s="1" t="n"/>
      <c r="C125" s="1" t="n"/>
      <c r="D125" s="1" t="n"/>
      <c r="E125" s="1" t="n"/>
      <c r="F125" s="1" t="n"/>
    </row>
    <row r="126">
      <c r="A126" s="1" t="n"/>
      <c r="B126" s="1" t="n"/>
      <c r="C126" s="1" t="n"/>
      <c r="D126" s="1" t="n"/>
      <c r="E126" s="1" t="n"/>
      <c r="F126" s="1" t="n"/>
    </row>
    <row r="127">
      <c r="A127" s="1" t="n"/>
      <c r="B127" s="1" t="n"/>
      <c r="C127" s="1" t="n"/>
      <c r="D127" s="1" t="n"/>
      <c r="E127" s="1" t="n"/>
      <c r="F127" s="1" t="n"/>
    </row>
    <row r="128">
      <c r="A128" s="1" t="n"/>
      <c r="B128" s="1" t="n"/>
      <c r="C128" s="1" t="n"/>
      <c r="D128" s="1" t="n"/>
      <c r="E128" s="1" t="n"/>
      <c r="F128" s="1" t="n"/>
    </row>
    <row r="129">
      <c r="A129" s="1" t="n"/>
      <c r="B129" s="1" t="n"/>
      <c r="C129" s="1" t="n"/>
      <c r="D129" s="1" t="n"/>
      <c r="E129" s="1" t="n"/>
      <c r="F129" s="1" t="n"/>
    </row>
    <row r="130">
      <c r="A130" s="1" t="n"/>
      <c r="B130" s="1" t="n"/>
      <c r="C130" s="1" t="n"/>
      <c r="D130" s="1" t="n"/>
      <c r="E130" s="1" t="n"/>
      <c r="F130" s="1" t="n"/>
    </row>
    <row r="131">
      <c r="A131" s="1" t="n"/>
      <c r="B131" s="1" t="n"/>
      <c r="C131" s="1" t="n"/>
      <c r="D131" s="1" t="n"/>
      <c r="E131" s="1" t="n"/>
      <c r="F131" s="1" t="n"/>
    </row>
    <row r="132">
      <c r="A132" s="1" t="n"/>
      <c r="B132" s="1" t="n"/>
      <c r="C132" s="1" t="n"/>
      <c r="D132" s="1" t="n"/>
      <c r="E132" s="1" t="n"/>
      <c r="F132" s="1" t="n"/>
    </row>
    <row r="133">
      <c r="A133" s="1" t="n"/>
      <c r="B133" s="1" t="n"/>
      <c r="C133" s="1" t="n"/>
      <c r="D133" s="1" t="n"/>
      <c r="E133" s="1" t="n"/>
      <c r="F133" s="1" t="n"/>
    </row>
    <row r="134">
      <c r="A134" s="1" t="n"/>
      <c r="B134" s="1" t="n"/>
      <c r="C134" s="1" t="n"/>
      <c r="D134" s="1" t="n"/>
      <c r="E134" s="1" t="n"/>
      <c r="F134" s="1" t="n"/>
    </row>
    <row r="135">
      <c r="A135" s="1" t="n"/>
      <c r="B135" s="1" t="n"/>
      <c r="C135" s="1" t="n"/>
      <c r="D135" s="1" t="n"/>
      <c r="E135" s="1" t="n"/>
      <c r="F135" s="1" t="n"/>
    </row>
    <row r="136">
      <c r="A136" s="1" t="n"/>
      <c r="B136" s="1" t="n"/>
      <c r="C136" s="1" t="n"/>
      <c r="D136" s="1" t="n"/>
      <c r="E136" s="1" t="n"/>
      <c r="F136" s="1" t="n"/>
    </row>
    <row r="137">
      <c r="A137" s="1" t="n"/>
      <c r="B137" s="1" t="n"/>
      <c r="C137" s="1" t="n"/>
      <c r="D137" s="1" t="n"/>
      <c r="E137" s="1" t="n"/>
      <c r="F137" s="1" t="n"/>
    </row>
    <row r="138">
      <c r="A138" s="1" t="n"/>
      <c r="B138" s="1" t="n"/>
      <c r="C138" s="1" t="n"/>
      <c r="D138" s="1" t="n"/>
      <c r="E138" s="1" t="n"/>
      <c r="F138" s="1" t="n"/>
    </row>
    <row r="139">
      <c r="A139" s="1" t="n"/>
      <c r="B139" s="1" t="n"/>
      <c r="C139" s="1" t="n"/>
      <c r="D139" s="1" t="n"/>
      <c r="E139" s="1" t="n"/>
      <c r="F139" s="1" t="n"/>
    </row>
    <row r="140">
      <c r="A140" s="1" t="n"/>
      <c r="B140" s="1" t="n"/>
      <c r="C140" s="1" t="n"/>
      <c r="D140" s="1" t="n"/>
      <c r="E140" s="1" t="n"/>
      <c r="F140" s="1" t="n"/>
    </row>
    <row r="141">
      <c r="A141" s="1" t="n"/>
      <c r="B141" s="1" t="n"/>
      <c r="C141" s="1" t="n"/>
      <c r="D141" s="1" t="n"/>
      <c r="E141" s="1" t="n"/>
      <c r="F141" s="1" t="n"/>
    </row>
    <row r="142">
      <c r="A142" s="1" t="n"/>
      <c r="B142" s="1" t="n"/>
      <c r="C142" s="1" t="n"/>
      <c r="D142" s="1" t="n"/>
      <c r="E142" s="1" t="n"/>
      <c r="F142" s="1" t="n"/>
    </row>
    <row r="143">
      <c r="A143" s="1" t="n"/>
      <c r="B143" s="1" t="n"/>
      <c r="C143" s="1" t="n"/>
      <c r="D143" s="1" t="n"/>
      <c r="E143" s="1" t="n"/>
      <c r="F143" s="1" t="n"/>
    </row>
    <row r="144">
      <c r="A144" s="1" t="n"/>
      <c r="B144" s="1" t="n"/>
      <c r="C144" s="1" t="n"/>
      <c r="D144" s="1" t="n"/>
      <c r="E144" s="1" t="n"/>
      <c r="F144" s="1" t="n"/>
    </row>
    <row r="145">
      <c r="A145" s="1" t="n"/>
      <c r="B145" s="1" t="n"/>
      <c r="C145" s="1" t="n"/>
      <c r="D145" s="1" t="n"/>
      <c r="E145" s="1" t="n"/>
      <c r="F145" s="1" t="n"/>
    </row>
    <row r="146">
      <c r="A146" s="1" t="n"/>
      <c r="B146" s="1" t="n"/>
      <c r="C146" s="1" t="n"/>
      <c r="D146" s="1" t="n"/>
      <c r="E146" s="1" t="n"/>
      <c r="F146" s="1" t="n"/>
    </row>
    <row r="147">
      <c r="A147" s="1" t="n"/>
      <c r="B147" s="1" t="n"/>
      <c r="C147" s="1" t="n"/>
      <c r="D147" s="1" t="n"/>
      <c r="E147" s="1" t="n"/>
      <c r="F147" s="1" t="n"/>
    </row>
    <row r="148">
      <c r="A148" s="1" t="n"/>
      <c r="B148" s="1" t="n"/>
      <c r="C148" s="1" t="n"/>
      <c r="D148" s="1" t="n"/>
      <c r="E148" s="1" t="n"/>
      <c r="F148" s="1" t="n"/>
    </row>
    <row r="149">
      <c r="A149" s="1" t="n"/>
      <c r="B149" s="1" t="n"/>
      <c r="C149" s="1" t="n"/>
      <c r="D149" s="1" t="n"/>
      <c r="E149" s="1" t="n"/>
      <c r="F149" s="1" t="n"/>
    </row>
    <row r="150">
      <c r="A150" s="1" t="n"/>
      <c r="B150" s="1" t="n"/>
      <c r="C150" s="1" t="n"/>
      <c r="D150" s="1" t="n"/>
      <c r="E150" s="1" t="n"/>
      <c r="F150" s="1" t="n"/>
    </row>
    <row r="151">
      <c r="A151" s="1" t="n"/>
      <c r="B151" s="1" t="n"/>
      <c r="C151" s="1" t="n"/>
      <c r="D151" s="1" t="n"/>
      <c r="E151" s="1" t="n"/>
      <c r="F151" s="1" t="n"/>
    </row>
    <row r="152">
      <c r="A152" s="1" t="n"/>
      <c r="B152" s="1" t="n"/>
      <c r="C152" s="1" t="n"/>
      <c r="D152" s="1" t="n"/>
      <c r="E152" s="1" t="n"/>
      <c r="F152" s="1" t="n"/>
    </row>
    <row r="153">
      <c r="A153" s="1" t="n"/>
      <c r="B153" s="1" t="n"/>
      <c r="C153" s="1" t="n"/>
      <c r="D153" s="1" t="n"/>
      <c r="E153" s="1" t="n"/>
      <c r="F153" s="1" t="n"/>
    </row>
    <row r="154">
      <c r="A154" s="1" t="n"/>
      <c r="B154" s="1" t="n"/>
      <c r="C154" s="1" t="n"/>
      <c r="D154" s="1" t="n"/>
      <c r="E154" s="1" t="n"/>
      <c r="F154" s="1" t="n"/>
    </row>
    <row r="155">
      <c r="A155" s="1" t="n"/>
      <c r="B155" s="1" t="n"/>
      <c r="C155" s="1" t="n"/>
      <c r="D155" s="1" t="n"/>
      <c r="E155" s="1" t="n"/>
      <c r="F155" s="1" t="n"/>
    </row>
    <row r="156">
      <c r="A156" s="1" t="n"/>
      <c r="B156" s="1" t="n"/>
      <c r="C156" s="1" t="n"/>
      <c r="D156" s="1" t="n"/>
      <c r="E156" s="1" t="n"/>
      <c r="F156" s="1" t="n"/>
    </row>
    <row r="157">
      <c r="A157" s="1" t="n"/>
      <c r="B157" s="1" t="n"/>
      <c r="C157" s="1" t="n"/>
      <c r="D157" s="1" t="n"/>
      <c r="E157" s="1" t="n"/>
      <c r="F157" s="1" t="n"/>
    </row>
    <row r="158">
      <c r="A158" s="1" t="n"/>
      <c r="B158" s="1" t="n"/>
      <c r="C158" s="1" t="n"/>
      <c r="D158" s="1" t="n"/>
      <c r="E158" s="1" t="n"/>
      <c r="F158" s="1" t="n"/>
    </row>
    <row r="159">
      <c r="A159" s="1" t="n"/>
      <c r="B159" s="1" t="n"/>
      <c r="C159" s="1" t="n"/>
      <c r="D159" s="1" t="n"/>
      <c r="E159" s="1" t="n"/>
      <c r="F159" s="1" t="n"/>
    </row>
    <row r="160">
      <c r="A160" s="1" t="n"/>
      <c r="B160" s="1" t="n"/>
      <c r="C160" s="1" t="n"/>
      <c r="D160" s="1" t="n"/>
      <c r="E160" s="1" t="n"/>
      <c r="F160" s="1" t="n"/>
    </row>
    <row r="161">
      <c r="A161" s="1" t="n"/>
      <c r="B161" s="1" t="n"/>
      <c r="C161" s="1" t="n"/>
      <c r="D161" s="1" t="n"/>
      <c r="E161" s="1" t="n"/>
      <c r="F161" s="1" t="n"/>
    </row>
    <row r="162">
      <c r="A162" s="1" t="n"/>
      <c r="B162" s="1" t="n"/>
      <c r="C162" s="1" t="n"/>
      <c r="D162" s="1" t="n"/>
      <c r="E162" s="1" t="n"/>
      <c r="F162" s="1" t="n"/>
    </row>
    <row r="163">
      <c r="A163" s="1" t="n"/>
      <c r="B163" s="1" t="n"/>
      <c r="C163" s="1" t="n"/>
      <c r="D163" s="1" t="n"/>
      <c r="E163" s="1" t="n"/>
      <c r="F163" s="1" t="n"/>
    </row>
    <row r="164">
      <c r="A164" s="1" t="n"/>
      <c r="B164" s="1" t="n"/>
      <c r="C164" s="1" t="n"/>
      <c r="D164" s="1" t="n"/>
      <c r="E164" s="1" t="n"/>
      <c r="F164" s="1" t="n"/>
    </row>
    <row r="165">
      <c r="A165" s="1" t="n"/>
      <c r="B165" s="1" t="n"/>
      <c r="C165" s="1" t="n"/>
      <c r="D165" s="1" t="n"/>
      <c r="E165" s="1" t="n"/>
      <c r="F165" s="1" t="n"/>
    </row>
    <row r="166">
      <c r="A166" s="1" t="n"/>
      <c r="B166" s="1" t="n"/>
      <c r="C166" s="1" t="n"/>
      <c r="D166" s="1" t="n"/>
      <c r="E166" s="1" t="n"/>
      <c r="F166" s="1" t="n"/>
    </row>
    <row r="167">
      <c r="A167" s="1" t="n"/>
      <c r="B167" s="1" t="n"/>
      <c r="C167" s="1" t="n"/>
      <c r="D167" s="1" t="n"/>
      <c r="E167" s="1" t="n"/>
      <c r="F167" s="1" t="n"/>
    </row>
    <row r="168">
      <c r="A168" s="1" t="n"/>
      <c r="B168" s="1" t="n"/>
      <c r="C168" s="1" t="n"/>
      <c r="D168" s="1" t="n"/>
      <c r="E168" s="1" t="n"/>
      <c r="F168" s="1" t="n"/>
    </row>
    <row r="169">
      <c r="A169" s="1" t="n"/>
      <c r="B169" s="1" t="n"/>
      <c r="C169" s="1" t="n"/>
      <c r="D169" s="1" t="n"/>
      <c r="E169" s="1" t="n"/>
      <c r="F169" s="1" t="n"/>
    </row>
    <row r="170">
      <c r="A170" s="1" t="n"/>
      <c r="B170" s="1" t="n"/>
      <c r="C170" s="1" t="n"/>
      <c r="D170" s="1" t="n"/>
      <c r="E170" s="1" t="n"/>
      <c r="F170" s="1" t="n"/>
    </row>
    <row r="171">
      <c r="A171" s="1" t="n"/>
      <c r="B171" s="1" t="n"/>
      <c r="C171" s="1" t="n"/>
      <c r="D171" s="1" t="n"/>
      <c r="E171" s="1" t="n"/>
      <c r="F171" s="1" t="n"/>
    </row>
    <row r="172">
      <c r="A172" s="1" t="n"/>
      <c r="B172" s="1" t="n"/>
      <c r="C172" s="1" t="n"/>
      <c r="D172" s="1" t="n"/>
      <c r="E172" s="1" t="n"/>
      <c r="F172" s="1" t="n"/>
    </row>
    <row r="173">
      <c r="A173" s="1" t="n"/>
      <c r="B173" s="1" t="n"/>
      <c r="C173" s="1" t="n"/>
      <c r="D173" s="1" t="n"/>
      <c r="E173" s="1" t="n"/>
      <c r="F173" s="1" t="n"/>
    </row>
    <row r="174">
      <c r="A174" s="1" t="n"/>
      <c r="B174" s="1" t="n"/>
      <c r="C174" s="1" t="n"/>
      <c r="D174" s="1" t="n"/>
      <c r="E174" s="1" t="n"/>
      <c r="F174" s="1" t="n"/>
    </row>
    <row r="175">
      <c r="A175" s="1" t="n"/>
      <c r="B175" s="1" t="n"/>
      <c r="C175" s="1" t="n"/>
      <c r="D175" s="1" t="n"/>
      <c r="E175" s="1" t="n"/>
      <c r="F175" s="1" t="n"/>
    </row>
    <row r="176">
      <c r="A176" s="1" t="n"/>
      <c r="B176" s="1" t="n"/>
      <c r="C176" s="1" t="n"/>
      <c r="D176" s="1" t="n"/>
      <c r="E176" s="1" t="n"/>
      <c r="F176" s="1" t="n"/>
    </row>
    <row r="177">
      <c r="A177" s="1" t="n"/>
      <c r="B177" s="1" t="n"/>
      <c r="C177" s="1" t="n"/>
      <c r="D177" s="1" t="n"/>
      <c r="E177" s="1" t="n"/>
      <c r="F177" s="1" t="n"/>
    </row>
    <row r="178">
      <c r="A178" s="1" t="n"/>
      <c r="B178" s="1" t="n"/>
      <c r="C178" s="1" t="n"/>
      <c r="D178" s="1" t="n"/>
      <c r="E178" s="1" t="n"/>
      <c r="F178" s="1" t="n"/>
    </row>
    <row r="179">
      <c r="A179" s="1" t="n"/>
      <c r="B179" s="1" t="n"/>
      <c r="C179" s="1" t="n"/>
      <c r="D179" s="1" t="n"/>
      <c r="E179" s="1" t="n"/>
      <c r="F179" s="1" t="n"/>
    </row>
    <row r="180">
      <c r="A180" s="1" t="n"/>
      <c r="B180" s="1" t="n"/>
      <c r="C180" s="1" t="n"/>
      <c r="D180" s="1" t="n"/>
      <c r="E180" s="1" t="n"/>
      <c r="F180" s="1" t="n"/>
    </row>
    <row r="181">
      <c r="A181" s="1" t="n"/>
      <c r="B181" s="1" t="n"/>
      <c r="C181" s="1" t="n"/>
      <c r="D181" s="1" t="n"/>
      <c r="E181" s="1" t="n"/>
      <c r="F181" s="1" t="n"/>
    </row>
    <row r="182">
      <c r="A182" s="1" t="n"/>
      <c r="B182" s="1" t="n"/>
      <c r="C182" s="1" t="n"/>
      <c r="D182" s="1" t="n"/>
      <c r="E182" s="1" t="n"/>
      <c r="F182" s="1" t="n"/>
    </row>
    <row r="183">
      <c r="A183" s="1" t="n"/>
      <c r="B183" s="1" t="n"/>
      <c r="C183" s="1" t="n"/>
      <c r="D183" s="1" t="n"/>
      <c r="E183" s="1" t="n"/>
      <c r="F183" s="1" t="n"/>
    </row>
    <row r="184">
      <c r="A184" s="1" t="n"/>
      <c r="B184" s="1" t="n"/>
      <c r="C184" s="1" t="n"/>
      <c r="D184" s="1" t="n"/>
      <c r="E184" s="1" t="n"/>
      <c r="F184" s="1" t="n"/>
    </row>
    <row r="185">
      <c r="A185" s="1" t="n"/>
      <c r="B185" s="1" t="n"/>
      <c r="C185" s="1" t="n"/>
      <c r="D185" s="1" t="n"/>
      <c r="E185" s="1" t="n"/>
      <c r="F185" s="1" t="n"/>
    </row>
    <row r="186">
      <c r="A186" s="1" t="n"/>
      <c r="B186" s="1" t="n"/>
      <c r="C186" s="1" t="n"/>
      <c r="D186" s="1" t="n"/>
      <c r="E186" s="1" t="n"/>
      <c r="F186" s="1" t="n"/>
    </row>
    <row r="187">
      <c r="A187" s="1" t="n"/>
      <c r="B187" s="1" t="n"/>
      <c r="C187" s="1" t="n"/>
      <c r="D187" s="1" t="n"/>
      <c r="E187" s="1" t="n"/>
      <c r="F187" s="1" t="n"/>
    </row>
    <row r="188">
      <c r="A188" s="1" t="n"/>
      <c r="B188" s="1" t="n"/>
      <c r="C188" s="1" t="n"/>
      <c r="D188" s="1" t="n"/>
      <c r="E188" s="1" t="n"/>
      <c r="F188" s="1" t="n"/>
    </row>
    <row r="189">
      <c r="A189" s="1" t="n"/>
      <c r="B189" s="1" t="n"/>
      <c r="C189" s="1" t="n"/>
      <c r="D189" s="1" t="n"/>
      <c r="E189" s="1" t="n"/>
      <c r="F189" s="1" t="n"/>
    </row>
    <row r="190">
      <c r="A190" s="1" t="n"/>
      <c r="B190" s="1" t="n"/>
      <c r="C190" s="1" t="n"/>
      <c r="D190" s="1" t="n"/>
      <c r="E190" s="1" t="n"/>
      <c r="F190" s="1" t="n"/>
    </row>
    <row r="191">
      <c r="A191" s="1" t="n"/>
      <c r="B191" s="1" t="n"/>
      <c r="C191" s="1" t="n"/>
      <c r="D191" s="1" t="n"/>
      <c r="E191" s="1" t="n"/>
      <c r="F191" s="1" t="n"/>
    </row>
    <row r="192">
      <c r="A192" s="1" t="n"/>
      <c r="B192" s="1" t="n"/>
      <c r="C192" s="1" t="n"/>
      <c r="D192" s="1" t="n"/>
      <c r="E192" s="1" t="n"/>
      <c r="F192" s="1" t="n"/>
    </row>
    <row r="193">
      <c r="A193" s="1" t="n"/>
      <c r="B193" s="1" t="n"/>
      <c r="C193" s="1" t="n"/>
      <c r="D193" s="1" t="n"/>
      <c r="E193" s="1" t="n"/>
      <c r="F193" s="1" t="n"/>
    </row>
    <row r="194">
      <c r="A194" s="1" t="n"/>
      <c r="B194" s="1" t="n"/>
      <c r="C194" s="1" t="n"/>
      <c r="D194" s="1" t="n"/>
      <c r="E194" s="1" t="n"/>
      <c r="F194" s="1" t="n"/>
    </row>
    <row r="195">
      <c r="A195" s="1" t="n"/>
      <c r="B195" s="1" t="n"/>
      <c r="C195" s="1" t="n"/>
      <c r="D195" s="1" t="n"/>
      <c r="E195" s="1" t="n"/>
      <c r="F195" s="1" t="n"/>
    </row>
    <row r="196">
      <c r="A196" s="1" t="n"/>
      <c r="B196" s="1" t="n"/>
      <c r="C196" s="1" t="n"/>
      <c r="D196" s="1" t="n"/>
      <c r="E196" s="1" t="n"/>
      <c r="F196" s="1" t="n"/>
    </row>
    <row r="197">
      <c r="A197" s="1" t="n"/>
      <c r="B197" s="1" t="n"/>
      <c r="C197" s="1" t="n"/>
      <c r="D197" s="1" t="n"/>
      <c r="E197" s="1" t="n"/>
      <c r="F197" s="1" t="n"/>
    </row>
    <row r="198">
      <c r="A198" s="1" t="n"/>
      <c r="B198" s="1" t="n"/>
      <c r="C198" s="1" t="n"/>
      <c r="D198" s="1" t="n"/>
      <c r="E198" s="1" t="n"/>
      <c r="F198" s="1" t="n"/>
    </row>
    <row r="199">
      <c r="A199" s="1" t="n"/>
      <c r="B199" s="1" t="n"/>
      <c r="C199" s="1" t="n"/>
      <c r="D199" s="1" t="n"/>
      <c r="E199" s="1" t="n"/>
      <c r="F199" s="1" t="n"/>
    </row>
  </sheetData>
  <mergeCells count="4">
    <mergeCell ref="B2:F2"/>
    <mergeCell ref="B4:F4"/>
    <mergeCell ref="B13:F13"/>
    <mergeCell ref="B1:F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Planilha7">
    <tabColor rgb="FFC0392B"/>
    <outlinePr summaryBelow="1" summaryRight="1"/>
    <pageSetUpPr/>
  </sheetPr>
  <dimension ref="A1:E99"/>
  <sheetViews>
    <sheetView showGridLines="0" zoomScale="125" workbookViewId="0">
      <selection activeCell="A1" sqref="A1"/>
    </sheetView>
  </sheetViews>
  <sheetFormatPr baseColWidth="10" defaultColWidth="8.83203125" defaultRowHeight="15"/>
  <cols>
    <col width="3" customWidth="1" style="110" min="1" max="1"/>
    <col width="26" customWidth="1" style="110" min="2" max="2"/>
    <col width="14" customWidth="1" style="110" min="3" max="3"/>
    <col width="50" customWidth="1" style="110" min="4" max="4"/>
    <col width="22" customWidth="1" style="110" min="5" max="5"/>
  </cols>
  <sheetData>
    <row r="1" ht="40" customHeight="1" s="110">
      <c r="A1" s="1" t="n"/>
      <c r="B1" s="145" t="inlineStr">
        <is>
          <t xml:space="preserve">  🚨 ALERTAS &amp; LEMBRETES — PRAZOS CRÍTICOS (somente visualização)</t>
        </is>
      </c>
    </row>
    <row r="2" ht="20" customHeight="1" s="110">
      <c r="A2" s="1" t="n"/>
      <c r="B2" s="146" t="inlineStr">
        <is>
          <t xml:space="preserve">  Alimentado automaticamente via fórmulas • Alertas calculados com base na data atual</t>
        </is>
      </c>
    </row>
    <row r="3" ht="30" customHeight="1" s="110">
      <c r="A3" s="1" t="n"/>
      <c r="B3" s="153" t="inlineStr">
        <is>
          <t xml:space="preserve">  🟢  ECF BLOCO X   —   Prazo: 31/07/2027  (345 dias restantes)</t>
        </is>
      </c>
    </row>
    <row r="4" ht="22" customHeight="1" s="110">
      <c r="A4" s="1" t="n"/>
      <c r="B4" s="48" t="inlineStr">
        <is>
          <t>Cliente</t>
        </is>
      </c>
      <c r="C4" s="48" t="inlineStr">
        <is>
          <t>GTB</t>
        </is>
      </c>
      <c r="D4" s="48" t="inlineStr">
        <is>
          <t>Orientação</t>
        </is>
      </c>
      <c r="E4" s="48" t="inlineStr">
        <is>
          <t>Status</t>
        </is>
      </c>
    </row>
    <row r="5" ht="20" customHeight="1" s="110">
      <c r="A5" s="1" t="n"/>
      <c r="B5" s="49" t="inlineStr">
        <is>
          <t>Dorf Ketal FY25</t>
        </is>
      </c>
      <c r="C5" s="34" t="inlineStr">
        <is>
          <t>GTB50612</t>
        </is>
      </c>
      <c r="D5" s="50" t="inlineStr">
        <is>
          <t>ECF confirmada — cliente enviou à RF em 15/07</t>
        </is>
      </c>
      <c r="E5" s="51" t="inlineStr">
        <is>
          <t>✅ Enviado</t>
        </is>
      </c>
    </row>
    <row r="6" ht="20" customHeight="1" s="110">
      <c r="A6" s="1" t="n"/>
      <c r="B6" s="52" t="inlineStr">
        <is>
          <t>BMW FY26</t>
        </is>
      </c>
      <c r="C6" s="36" t="inlineStr">
        <is>
          <t>GTB55638</t>
        </is>
      </c>
      <c r="D6" s="13" t="inlineStr">
        <is>
          <t>Projeto novo, ECF FY26 só em 2027</t>
        </is>
      </c>
      <c r="E6" s="53" t="inlineStr">
        <is>
          <t>✅ N/A</t>
        </is>
      </c>
    </row>
    <row r="7" ht="20" customHeight="1" s="110">
      <c r="A7" s="1" t="n"/>
      <c r="B7" s="49" t="inlineStr">
        <is>
          <t>AD Instruments FY25</t>
        </is>
      </c>
      <c r="C7" s="34" t="inlineStr">
        <is>
          <t>GTB60949</t>
        </is>
      </c>
      <c r="D7" s="50" t="inlineStr">
        <is>
          <t>ECF concluída e enviada em 10/07</t>
        </is>
      </c>
      <c r="E7" s="51" t="inlineStr">
        <is>
          <t>✅ Confirmado</t>
        </is>
      </c>
    </row>
    <row r="8" ht="22" customHeight="1" s="110">
      <c r="A8" s="1" t="n"/>
      <c r="B8" s="151" t="inlineStr">
        <is>
          <t xml:space="preserve">  📧 TEMPLATE DE E-MAIL SUGERIDO</t>
        </is>
      </c>
    </row>
    <row r="9" ht="80" customHeight="1" s="110">
      <c r="A9" s="1" t="n"/>
      <c r="B9" s="150" t="inlineStr">
        <is>
          <t>Assunto: ECF Bloco X — Verificação de Envio à Receita Federal
Prezado(a) [Nome],
Gostaríamos de verificar se o upload da ECF Bloco X foi realizado na plataforma e-CAC da Receita Federal. O prazo final é 31/07/[ANO].
Qualquer dúvida, estamos à disposição.
Att, [Nome] | [Empresa]</t>
        </is>
      </c>
    </row>
    <row r="10">
      <c r="A10" s="1" t="n"/>
      <c r="B10" s="1" t="n"/>
      <c r="C10" s="1" t="n"/>
      <c r="D10" s="1" t="n"/>
      <c r="E10" s="1" t="n"/>
    </row>
    <row r="11" ht="30" customHeight="1" s="110">
      <c r="A11" s="1" t="n"/>
      <c r="B11" s="152" t="inlineStr">
        <is>
          <t xml:space="preserve">  🟢  LOCAL FILE &amp; MASTER FILE   —   Prazo: 31/10/2026  (72 dias restantes)</t>
        </is>
      </c>
    </row>
    <row r="12" ht="22" customHeight="1" s="110">
      <c r="A12" s="1" t="n"/>
      <c r="B12" s="48" t="inlineStr">
        <is>
          <t>Cliente</t>
        </is>
      </c>
      <c r="C12" s="48" t="inlineStr">
        <is>
          <t>GTB</t>
        </is>
      </c>
      <c r="D12" s="48" t="inlineStr">
        <is>
          <t>Orientação</t>
        </is>
      </c>
      <c r="E12" s="48" t="inlineStr">
        <is>
          <t>Status</t>
        </is>
      </c>
    </row>
    <row r="13" ht="20" customHeight="1" s="110">
      <c r="A13" s="1" t="n"/>
      <c r="B13" s="49" t="inlineStr">
        <is>
          <t>Dorf Ketal FY25</t>
        </is>
      </c>
      <c r="C13" s="34" t="inlineStr">
        <is>
          <t>GTB50612</t>
        </is>
      </c>
      <c r="D13" s="50" t="inlineStr">
        <is>
          <t>Solicitar MF formato correto — urgente!</t>
        </is>
      </c>
      <c r="E13" s="51" t="inlineStr">
        <is>
          <t>🔴 Pendente</t>
        </is>
      </c>
    </row>
    <row r="14" ht="20" customHeight="1" s="110">
      <c r="A14" s="1" t="n"/>
      <c r="B14" s="52" t="inlineStr">
        <is>
          <t>BMW FY26</t>
        </is>
      </c>
      <c r="C14" s="36" t="inlineStr">
        <is>
          <t>GTB55638</t>
        </is>
      </c>
      <c r="D14" s="13" t="inlineStr">
        <is>
          <t>Projeto novo — LF FY26 só em 2027</t>
        </is>
      </c>
      <c r="E14" s="53" t="inlineStr">
        <is>
          <t>⏳ N/A</t>
        </is>
      </c>
    </row>
    <row r="15" ht="20" customHeight="1" s="110">
      <c r="A15" s="1" t="n"/>
      <c r="B15" s="49" t="inlineStr">
        <is>
          <t>AD Instruments FY25</t>
        </is>
      </c>
      <c r="C15" s="34" t="inlineStr">
        <is>
          <t>GTB60949</t>
        </is>
      </c>
      <c r="D15" s="50" t="inlineStr">
        <is>
          <t>LF não incluso no escopo</t>
        </is>
      </c>
      <c r="E15" s="51" t="inlineStr">
        <is>
          <t>✅ N/A</t>
        </is>
      </c>
    </row>
    <row r="16" ht="22" customHeight="1" s="110">
      <c r="A16" s="1" t="n"/>
      <c r="B16" s="151" t="inlineStr">
        <is>
          <t xml:space="preserve">  📧 TEMPLATE DE E-MAIL SUGERIDO</t>
        </is>
      </c>
    </row>
    <row r="17" ht="80" customHeight="1" s="110">
      <c r="A17" s="1" t="n"/>
      <c r="B17" s="150" t="inlineStr">
        <is>
          <t>Assunto: Local File e Master File — Solicitação de Documentação [CLIENTE]
Prezado(a) [Nome],
Conforme nosso engajamento, gostaríamos de solicitar antecipadamente:
• Master File do grupo (exercício fiscal [PERÍODO]) — conforme IN RFB 1.312/2012
• Demais informações para o Local File
Prazo regulatório: 31/10/[ANO].
Att, [Nome] | [Empresa]</t>
        </is>
      </c>
    </row>
    <row r="18">
      <c r="A18" s="1" t="n"/>
      <c r="B18" s="1" t="n"/>
      <c r="C18" s="1" t="n"/>
      <c r="D18" s="1" t="n"/>
      <c r="E18" s="1" t="n"/>
    </row>
    <row r="19">
      <c r="A19" s="1" t="n"/>
      <c r="B19" s="1" t="n"/>
      <c r="C19" s="1" t="n"/>
      <c r="D19" s="1" t="n"/>
      <c r="E19" s="1" t="n"/>
    </row>
    <row r="20">
      <c r="A20" s="1" t="n"/>
      <c r="B20" s="1" t="n"/>
      <c r="C20" s="1" t="n"/>
      <c r="D20" s="1" t="n"/>
      <c r="E20" s="1" t="n"/>
    </row>
    <row r="21">
      <c r="A21" s="1" t="n"/>
      <c r="B21" s="1" t="n"/>
      <c r="C21" s="1" t="n"/>
      <c r="D21" s="1" t="n"/>
      <c r="E21" s="1" t="n"/>
    </row>
    <row r="22">
      <c r="A22" s="1" t="n"/>
      <c r="B22" s="1" t="n"/>
      <c r="C22" s="1" t="n"/>
      <c r="D22" s="1" t="n"/>
      <c r="E22" s="1" t="n"/>
    </row>
    <row r="23">
      <c r="A23" s="1" t="n"/>
      <c r="B23" s="1" t="n"/>
      <c r="C23" s="1" t="n"/>
      <c r="D23" s="1" t="n"/>
      <c r="E23" s="1" t="n"/>
    </row>
    <row r="24">
      <c r="A24" s="1" t="n"/>
      <c r="B24" s="1" t="n"/>
      <c r="C24" s="1" t="n"/>
      <c r="D24" s="1" t="n"/>
      <c r="E24" s="1" t="n"/>
    </row>
    <row r="25">
      <c r="A25" s="1" t="n"/>
      <c r="B25" s="1" t="n"/>
      <c r="C25" s="1" t="n"/>
      <c r="D25" s="1" t="n"/>
      <c r="E25" s="1" t="n"/>
    </row>
    <row r="26">
      <c r="A26" s="1" t="n"/>
      <c r="B26" s="1" t="n"/>
      <c r="C26" s="1" t="n"/>
      <c r="D26" s="1" t="n"/>
      <c r="E26" s="1" t="n"/>
    </row>
    <row r="27">
      <c r="A27" s="1" t="n"/>
      <c r="B27" s="1" t="n"/>
      <c r="C27" s="1" t="n"/>
      <c r="D27" s="1" t="n"/>
      <c r="E27" s="1" t="n"/>
    </row>
    <row r="28">
      <c r="A28" s="1" t="n"/>
      <c r="B28" s="1" t="n"/>
      <c r="C28" s="1" t="n"/>
      <c r="D28" s="1" t="n"/>
      <c r="E28" s="1" t="n"/>
    </row>
    <row r="29">
      <c r="A29" s="1" t="n"/>
      <c r="B29" s="1" t="n"/>
      <c r="C29" s="1" t="n"/>
      <c r="D29" s="1" t="n"/>
      <c r="E29" s="1" t="n"/>
    </row>
    <row r="30">
      <c r="A30" s="1" t="n"/>
      <c r="B30" s="1" t="n"/>
      <c r="C30" s="1" t="n"/>
      <c r="D30" s="1" t="n"/>
      <c r="E30" s="1" t="n"/>
    </row>
    <row r="31">
      <c r="A31" s="1" t="n"/>
      <c r="B31" s="1" t="n"/>
      <c r="C31" s="1" t="n"/>
      <c r="D31" s="1" t="n"/>
      <c r="E31" s="1" t="n"/>
    </row>
    <row r="32">
      <c r="A32" s="1" t="n"/>
      <c r="B32" s="1" t="n"/>
      <c r="C32" s="1" t="n"/>
      <c r="D32" s="1" t="n"/>
      <c r="E32" s="1" t="n"/>
    </row>
    <row r="33">
      <c r="A33" s="1" t="n"/>
      <c r="B33" s="1" t="n"/>
      <c r="C33" s="1" t="n"/>
      <c r="D33" s="1" t="n"/>
      <c r="E33" s="1" t="n"/>
    </row>
    <row r="34">
      <c r="A34" s="1" t="n"/>
      <c r="B34" s="1" t="n"/>
      <c r="C34" s="1" t="n"/>
      <c r="D34" s="1" t="n"/>
      <c r="E34" s="1" t="n"/>
    </row>
    <row r="35">
      <c r="A35" s="1" t="n"/>
      <c r="B35" s="1" t="n"/>
      <c r="C35" s="1" t="n"/>
      <c r="D35" s="1" t="n"/>
      <c r="E35" s="1" t="n"/>
    </row>
    <row r="36">
      <c r="A36" s="1" t="n"/>
      <c r="B36" s="1" t="n"/>
      <c r="C36" s="1" t="n"/>
      <c r="D36" s="1" t="n"/>
      <c r="E36" s="1" t="n"/>
    </row>
    <row r="37">
      <c r="A37" s="1" t="n"/>
      <c r="B37" s="1" t="n"/>
      <c r="C37" s="1" t="n"/>
      <c r="D37" s="1" t="n"/>
      <c r="E37" s="1" t="n"/>
    </row>
    <row r="38">
      <c r="A38" s="1" t="n"/>
      <c r="B38" s="1" t="n"/>
      <c r="C38" s="1" t="n"/>
      <c r="D38" s="1" t="n"/>
      <c r="E38" s="1" t="n"/>
    </row>
    <row r="39">
      <c r="A39" s="1" t="n"/>
      <c r="B39" s="1" t="n"/>
      <c r="C39" s="1" t="n"/>
      <c r="D39" s="1" t="n"/>
      <c r="E39" s="1" t="n"/>
    </row>
    <row r="40">
      <c r="A40" s="1" t="n"/>
      <c r="B40" s="1" t="n"/>
      <c r="C40" s="1" t="n"/>
      <c r="D40" s="1" t="n"/>
      <c r="E40" s="1" t="n"/>
    </row>
    <row r="41">
      <c r="A41" s="1" t="n"/>
      <c r="B41" s="1" t="n"/>
      <c r="C41" s="1" t="n"/>
      <c r="D41" s="1" t="n"/>
      <c r="E41" s="1" t="n"/>
    </row>
    <row r="42">
      <c r="A42" s="1" t="n"/>
      <c r="B42" s="1" t="n"/>
      <c r="C42" s="1" t="n"/>
      <c r="D42" s="1" t="n"/>
      <c r="E42" s="1" t="n"/>
    </row>
    <row r="43">
      <c r="A43" s="1" t="n"/>
      <c r="B43" s="1" t="n"/>
      <c r="C43" s="1" t="n"/>
      <c r="D43" s="1" t="n"/>
      <c r="E43" s="1" t="n"/>
    </row>
    <row r="44">
      <c r="A44" s="1" t="n"/>
      <c r="B44" s="1" t="n"/>
      <c r="C44" s="1" t="n"/>
      <c r="D44" s="1" t="n"/>
      <c r="E44" s="1" t="n"/>
    </row>
    <row r="45">
      <c r="A45" s="1" t="n"/>
      <c r="B45" s="1" t="n"/>
      <c r="C45" s="1" t="n"/>
      <c r="D45" s="1" t="n"/>
      <c r="E45" s="1" t="n"/>
    </row>
    <row r="46">
      <c r="A46" s="1" t="n"/>
      <c r="B46" s="1" t="n"/>
      <c r="C46" s="1" t="n"/>
      <c r="D46" s="1" t="n"/>
      <c r="E46" s="1" t="n"/>
    </row>
    <row r="47">
      <c r="A47" s="1" t="n"/>
      <c r="B47" s="1" t="n"/>
      <c r="C47" s="1" t="n"/>
      <c r="D47" s="1" t="n"/>
      <c r="E47" s="1" t="n"/>
    </row>
    <row r="48">
      <c r="A48" s="1" t="n"/>
      <c r="B48" s="1" t="n"/>
      <c r="C48" s="1" t="n"/>
      <c r="D48" s="1" t="n"/>
      <c r="E48" s="1" t="n"/>
    </row>
    <row r="49">
      <c r="A49" s="1" t="n"/>
      <c r="B49" s="1" t="n"/>
      <c r="C49" s="1" t="n"/>
      <c r="D49" s="1" t="n"/>
      <c r="E49" s="1" t="n"/>
    </row>
    <row r="50">
      <c r="A50" s="1" t="n"/>
      <c r="B50" s="1" t="n"/>
      <c r="C50" s="1" t="n"/>
      <c r="D50" s="1" t="n"/>
      <c r="E50" s="1" t="n"/>
    </row>
    <row r="51">
      <c r="A51" s="1" t="n"/>
      <c r="B51" s="1" t="n"/>
      <c r="C51" s="1" t="n"/>
      <c r="D51" s="1" t="n"/>
      <c r="E51" s="1" t="n"/>
    </row>
    <row r="52">
      <c r="A52" s="1" t="n"/>
      <c r="B52" s="1" t="n"/>
      <c r="C52" s="1" t="n"/>
      <c r="D52" s="1" t="n"/>
      <c r="E52" s="1" t="n"/>
    </row>
    <row r="53">
      <c r="A53" s="1" t="n"/>
      <c r="B53" s="1" t="n"/>
      <c r="C53" s="1" t="n"/>
      <c r="D53" s="1" t="n"/>
      <c r="E53" s="1" t="n"/>
    </row>
    <row r="54">
      <c r="A54" s="1" t="n"/>
      <c r="B54" s="1" t="n"/>
      <c r="C54" s="1" t="n"/>
      <c r="D54" s="1" t="n"/>
      <c r="E54" s="1" t="n"/>
    </row>
    <row r="55">
      <c r="A55" s="1" t="n"/>
      <c r="B55" s="1" t="n"/>
      <c r="C55" s="1" t="n"/>
      <c r="D55" s="1" t="n"/>
      <c r="E55" s="1" t="n"/>
    </row>
    <row r="56">
      <c r="A56" s="1" t="n"/>
      <c r="B56" s="1" t="n"/>
      <c r="C56" s="1" t="n"/>
      <c r="D56" s="1" t="n"/>
      <c r="E56" s="1" t="n"/>
    </row>
    <row r="57">
      <c r="A57" s="1" t="n"/>
      <c r="B57" s="1" t="n"/>
      <c r="C57" s="1" t="n"/>
      <c r="D57" s="1" t="n"/>
      <c r="E57" s="1" t="n"/>
    </row>
    <row r="58">
      <c r="A58" s="1" t="n"/>
      <c r="B58" s="1" t="n"/>
      <c r="C58" s="1" t="n"/>
      <c r="D58" s="1" t="n"/>
      <c r="E58" s="1" t="n"/>
    </row>
    <row r="59">
      <c r="A59" s="1" t="n"/>
      <c r="B59" s="1" t="n"/>
      <c r="C59" s="1" t="n"/>
      <c r="D59" s="1" t="n"/>
      <c r="E59" s="1" t="n"/>
    </row>
    <row r="60">
      <c r="A60" s="1" t="n"/>
      <c r="B60" s="1" t="n"/>
      <c r="C60" s="1" t="n"/>
      <c r="D60" s="1" t="n"/>
      <c r="E60" s="1" t="n"/>
    </row>
    <row r="61">
      <c r="A61" s="1" t="n"/>
      <c r="B61" s="1" t="n"/>
      <c r="C61" s="1" t="n"/>
      <c r="D61" s="1" t="n"/>
      <c r="E61" s="1" t="n"/>
    </row>
    <row r="62">
      <c r="A62" s="1" t="n"/>
      <c r="B62" s="1" t="n"/>
      <c r="C62" s="1" t="n"/>
      <c r="D62" s="1" t="n"/>
      <c r="E62" s="1" t="n"/>
    </row>
    <row r="63">
      <c r="A63" s="1" t="n"/>
      <c r="B63" s="1" t="n"/>
      <c r="C63" s="1" t="n"/>
      <c r="D63" s="1" t="n"/>
      <c r="E63" s="1" t="n"/>
    </row>
    <row r="64">
      <c r="A64" s="1" t="n"/>
      <c r="B64" s="1" t="n"/>
      <c r="C64" s="1" t="n"/>
      <c r="D64" s="1" t="n"/>
      <c r="E64" s="1" t="n"/>
    </row>
    <row r="65">
      <c r="A65" s="1" t="n"/>
      <c r="B65" s="1" t="n"/>
      <c r="C65" s="1" t="n"/>
      <c r="D65" s="1" t="n"/>
      <c r="E65" s="1" t="n"/>
    </row>
    <row r="66">
      <c r="A66" s="1" t="n"/>
      <c r="B66" s="1" t="n"/>
      <c r="C66" s="1" t="n"/>
      <c r="D66" s="1" t="n"/>
      <c r="E66" s="1" t="n"/>
    </row>
    <row r="67">
      <c r="A67" s="1" t="n"/>
      <c r="B67" s="1" t="n"/>
      <c r="C67" s="1" t="n"/>
      <c r="D67" s="1" t="n"/>
      <c r="E67" s="1" t="n"/>
    </row>
    <row r="68">
      <c r="A68" s="1" t="n"/>
      <c r="B68" s="1" t="n"/>
      <c r="C68" s="1" t="n"/>
      <c r="D68" s="1" t="n"/>
      <c r="E68" s="1" t="n"/>
    </row>
    <row r="69">
      <c r="A69" s="1" t="n"/>
      <c r="B69" s="1" t="n"/>
      <c r="C69" s="1" t="n"/>
      <c r="D69" s="1" t="n"/>
      <c r="E69" s="1" t="n"/>
    </row>
    <row r="70">
      <c r="A70" s="1" t="n"/>
      <c r="B70" s="1" t="n"/>
      <c r="C70" s="1" t="n"/>
      <c r="D70" s="1" t="n"/>
      <c r="E70" s="1" t="n"/>
    </row>
    <row r="71">
      <c r="A71" s="1" t="n"/>
      <c r="B71" s="1" t="n"/>
      <c r="C71" s="1" t="n"/>
      <c r="D71" s="1" t="n"/>
      <c r="E71" s="1" t="n"/>
    </row>
    <row r="72">
      <c r="A72" s="1" t="n"/>
      <c r="B72" s="1" t="n"/>
      <c r="C72" s="1" t="n"/>
      <c r="D72" s="1" t="n"/>
      <c r="E72" s="1" t="n"/>
    </row>
    <row r="73">
      <c r="A73" s="1" t="n"/>
      <c r="B73" s="1" t="n"/>
      <c r="C73" s="1" t="n"/>
      <c r="D73" s="1" t="n"/>
      <c r="E73" s="1" t="n"/>
    </row>
    <row r="74">
      <c r="A74" s="1" t="n"/>
      <c r="B74" s="1" t="n"/>
      <c r="C74" s="1" t="n"/>
      <c r="D74" s="1" t="n"/>
      <c r="E74" s="1" t="n"/>
    </row>
    <row r="75">
      <c r="A75" s="1" t="n"/>
      <c r="B75" s="1" t="n"/>
      <c r="C75" s="1" t="n"/>
      <c r="D75" s="1" t="n"/>
      <c r="E75" s="1" t="n"/>
    </row>
    <row r="76">
      <c r="A76" s="1" t="n"/>
      <c r="B76" s="1" t="n"/>
      <c r="C76" s="1" t="n"/>
      <c r="D76" s="1" t="n"/>
      <c r="E76" s="1" t="n"/>
    </row>
    <row r="77">
      <c r="A77" s="1" t="n"/>
      <c r="B77" s="1" t="n"/>
      <c r="C77" s="1" t="n"/>
      <c r="D77" s="1" t="n"/>
      <c r="E77" s="1" t="n"/>
    </row>
    <row r="78">
      <c r="A78" s="1" t="n"/>
      <c r="B78" s="1" t="n"/>
      <c r="C78" s="1" t="n"/>
      <c r="D78" s="1" t="n"/>
      <c r="E78" s="1" t="n"/>
    </row>
    <row r="79">
      <c r="A79" s="1" t="n"/>
      <c r="B79" s="1" t="n"/>
      <c r="C79" s="1" t="n"/>
      <c r="D79" s="1" t="n"/>
      <c r="E79" s="1" t="n"/>
    </row>
    <row r="80">
      <c r="A80" s="1" t="n"/>
      <c r="B80" s="1" t="n"/>
      <c r="C80" s="1" t="n"/>
      <c r="D80" s="1" t="n"/>
      <c r="E80" s="1" t="n"/>
    </row>
    <row r="81">
      <c r="A81" s="1" t="n"/>
      <c r="B81" s="1" t="n"/>
      <c r="C81" s="1" t="n"/>
      <c r="D81" s="1" t="n"/>
      <c r="E81" s="1" t="n"/>
    </row>
    <row r="82">
      <c r="A82" s="1" t="n"/>
      <c r="B82" s="1" t="n"/>
      <c r="C82" s="1" t="n"/>
      <c r="D82" s="1" t="n"/>
      <c r="E82" s="1" t="n"/>
    </row>
    <row r="83">
      <c r="A83" s="1" t="n"/>
      <c r="B83" s="1" t="n"/>
      <c r="C83" s="1" t="n"/>
      <c r="D83" s="1" t="n"/>
      <c r="E83" s="1" t="n"/>
    </row>
    <row r="84">
      <c r="A84" s="1" t="n"/>
      <c r="B84" s="1" t="n"/>
      <c r="C84" s="1" t="n"/>
      <c r="D84" s="1" t="n"/>
      <c r="E84" s="1" t="n"/>
    </row>
    <row r="85">
      <c r="A85" s="1" t="n"/>
      <c r="B85" s="1" t="n"/>
      <c r="C85" s="1" t="n"/>
      <c r="D85" s="1" t="n"/>
      <c r="E85" s="1" t="n"/>
    </row>
    <row r="86">
      <c r="A86" s="1" t="n"/>
      <c r="B86" s="1" t="n"/>
      <c r="C86" s="1" t="n"/>
      <c r="D86" s="1" t="n"/>
      <c r="E86" s="1" t="n"/>
    </row>
    <row r="87">
      <c r="A87" s="1" t="n"/>
      <c r="B87" s="1" t="n"/>
      <c r="C87" s="1" t="n"/>
      <c r="D87" s="1" t="n"/>
      <c r="E87" s="1" t="n"/>
    </row>
    <row r="88">
      <c r="A88" s="1" t="n"/>
      <c r="B88" s="1" t="n"/>
      <c r="C88" s="1" t="n"/>
      <c r="D88" s="1" t="n"/>
      <c r="E88" s="1" t="n"/>
    </row>
    <row r="89">
      <c r="A89" s="1" t="n"/>
      <c r="B89" s="1" t="n"/>
      <c r="C89" s="1" t="n"/>
      <c r="D89" s="1" t="n"/>
      <c r="E89" s="1" t="n"/>
    </row>
    <row r="90">
      <c r="A90" s="1" t="n"/>
      <c r="B90" s="1" t="n"/>
      <c r="C90" s="1" t="n"/>
      <c r="D90" s="1" t="n"/>
      <c r="E90" s="1" t="n"/>
    </row>
    <row r="91">
      <c r="A91" s="1" t="n"/>
      <c r="B91" s="1" t="n"/>
      <c r="C91" s="1" t="n"/>
      <c r="D91" s="1" t="n"/>
      <c r="E91" s="1" t="n"/>
    </row>
    <row r="92">
      <c r="A92" s="1" t="n"/>
      <c r="B92" s="1" t="n"/>
      <c r="C92" s="1" t="n"/>
      <c r="D92" s="1" t="n"/>
      <c r="E92" s="1" t="n"/>
    </row>
    <row r="93">
      <c r="A93" s="1" t="n"/>
      <c r="B93" s="1" t="n"/>
      <c r="C93" s="1" t="n"/>
      <c r="D93" s="1" t="n"/>
      <c r="E93" s="1" t="n"/>
    </row>
    <row r="94">
      <c r="A94" s="1" t="n"/>
      <c r="B94" s="1" t="n"/>
      <c r="C94" s="1" t="n"/>
      <c r="D94" s="1" t="n"/>
      <c r="E94" s="1" t="n"/>
    </row>
    <row r="95">
      <c r="A95" s="1" t="n"/>
      <c r="B95" s="1" t="n"/>
      <c r="C95" s="1" t="n"/>
      <c r="D95" s="1" t="n"/>
      <c r="E95" s="1" t="n"/>
    </row>
    <row r="96">
      <c r="A96" s="1" t="n"/>
      <c r="B96" s="1" t="n"/>
      <c r="C96" s="1" t="n"/>
      <c r="D96" s="1" t="n"/>
      <c r="E96" s="1" t="n"/>
    </row>
    <row r="97">
      <c r="A97" s="1" t="n"/>
      <c r="B97" s="1" t="n"/>
      <c r="C97" s="1" t="n"/>
      <c r="D97" s="1" t="n"/>
      <c r="E97" s="1" t="n"/>
    </row>
    <row r="98">
      <c r="A98" s="1" t="n"/>
      <c r="B98" s="1" t="n"/>
      <c r="C98" s="1" t="n"/>
      <c r="D98" s="1" t="n"/>
      <c r="E98" s="1" t="n"/>
    </row>
    <row r="99">
      <c r="A99" s="1" t="n"/>
      <c r="B99" s="1" t="n"/>
      <c r="C99" s="1" t="n"/>
      <c r="D99" s="1" t="n"/>
      <c r="E99" s="1" t="n"/>
    </row>
  </sheetData>
  <mergeCells count="8">
    <mergeCell ref="B17:E17"/>
    <mergeCell ref="B9:E9"/>
    <mergeCell ref="B1:E1"/>
    <mergeCell ref="B8:E8"/>
    <mergeCell ref="B16:E16"/>
    <mergeCell ref="B11:E11"/>
    <mergeCell ref="B3:E3"/>
    <mergeCell ref="B2:E2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Planilha9">
    <tabColor rgb="FF3A6186"/>
    <outlinePr summaryBelow="1" summaryRight="1"/>
    <pageSetUpPr/>
  </sheetPr>
  <dimension ref="A1:X171"/>
  <sheetViews>
    <sheetView showGridLines="0" workbookViewId="0">
      <pane xSplit="1" ySplit="5" topLeftCell="B6" activePane="bottomRight" state="frozen"/>
      <selection pane="topRight" activeCell="A1" sqref="A1"/>
      <selection pane="bottomLeft" activeCell="A1" sqref="A1"/>
      <selection pane="bottomRight" activeCell="A1" sqref="A1:W1"/>
    </sheetView>
  </sheetViews>
  <sheetFormatPr baseColWidth="10" defaultColWidth="8.83203125" defaultRowHeight="15"/>
  <cols>
    <col width="4" customWidth="1" style="110" min="1" max="1"/>
    <col width="28" customWidth="1" style="110" min="2" max="2"/>
    <col width="10" customWidth="1" style="110" min="3" max="3"/>
    <col width="14" customWidth="1" style="110" min="4" max="4"/>
    <col width="20" customWidth="1" style="110" min="5" max="5"/>
    <col width="18" customWidth="1" style="110" min="6" max="7"/>
    <col width="15" customWidth="1" style="110" min="8" max="8"/>
    <col width="10" customWidth="1" style="110" min="9" max="10"/>
    <col width="8" customWidth="1" style="110" min="11" max="11"/>
    <col width="22" customWidth="1" style="110" min="12" max="12"/>
    <col width="10" customWidth="1" style="110" min="13" max="15"/>
    <col width="8" customWidth="1" style="110" min="16" max="17"/>
    <col width="22" customWidth="1" style="110" min="18" max="18"/>
    <col width="14" customWidth="1" style="110" min="19" max="19"/>
    <col width="22" customWidth="1" style="110" min="20" max="20"/>
    <col width="14" customWidth="1" style="110" min="21" max="22"/>
    <col width="40" customWidth="1" style="110" min="23" max="23"/>
    <col width="3" customWidth="1" style="110" min="24" max="24"/>
  </cols>
  <sheetData>
    <row r="1" ht="40" customHeight="1" s="110">
      <c r="A1" s="158" t="inlineStr">
        <is>
          <t xml:space="preserve">  📊 CONTROLE DE PROJETOS TP — FY 2025</t>
        </is>
      </c>
      <c r="X1" s="1" t="n"/>
    </row>
    <row r="2" ht="20" customHeight="1" s="110">
      <c r="A2" s="164" t="inlineStr">
        <is>
          <t xml:space="preserve">  Status: N/A / Não iniciado / Em elaboração / Revisão Gerencial / Revisão Sócio / Enviado ao cliente / Reportado</t>
        </is>
      </c>
      <c r="X2" s="1" t="n"/>
    </row>
    <row r="3" ht="10" customHeight="1" s="110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</row>
    <row r="4" ht="14" customHeight="1" s="110">
      <c r="A4" s="157" t="inlineStr">
        <is>
          <t>IDENTIFICAÇÃO</t>
        </is>
      </c>
      <c r="D4" s="163" t="inlineStr">
        <is>
          <t>EQUIPE</t>
        </is>
      </c>
      <c r="I4" s="162" t="inlineStr">
        <is>
          <t>ESCOPO</t>
        </is>
      </c>
      <c r="L4" s="161" t="inlineStr">
        <is>
          <t>STATUS TP</t>
        </is>
      </c>
      <c r="P4" s="155" t="inlineStr">
        <is>
          <t>LOCAL FILE</t>
        </is>
      </c>
      <c r="R4" s="160" t="inlineStr">
        <is>
          <t>MASTER FILE</t>
        </is>
      </c>
      <c r="U4" s="154" t="inlineStr">
        <is>
          <t>ENVIO RFB</t>
        </is>
      </c>
      <c r="W4" s="157" t="inlineStr">
        <is>
          <t>OBSERVAÇÕES</t>
        </is>
      </c>
      <c r="X4" s="1" t="n"/>
    </row>
    <row r="5" ht="44" customHeight="1" s="110">
      <c r="A5" s="11" t="inlineStr">
        <is>
          <t>#</t>
        </is>
      </c>
      <c r="B5" s="11" t="inlineStr">
        <is>
          <t>Clientes</t>
        </is>
      </c>
      <c r="C5" s="11" t="inlineStr">
        <is>
          <t>Nº Entidades</t>
        </is>
      </c>
      <c r="D5" s="11" t="inlineStr">
        <is>
          <t>GTB</t>
        </is>
      </c>
      <c r="E5" s="11" t="inlineStr">
        <is>
          <t>Gerente</t>
        </is>
      </c>
      <c r="F5" s="11" t="inlineStr">
        <is>
          <t>Senior</t>
        </is>
      </c>
      <c r="G5" s="11" t="inlineStr">
        <is>
          <t>Assistente</t>
        </is>
      </c>
      <c r="H5" s="11" t="inlineStr">
        <is>
          <t>Trainee</t>
        </is>
      </c>
      <c r="I5" s="11" t="inlineStr">
        <is>
          <t>TAX/AUDIT</t>
        </is>
      </c>
      <c r="J5" s="11" t="inlineStr">
        <is>
          <t>Escopo
(Ano-cal.)</t>
        </is>
      </c>
      <c r="K5" s="11" t="inlineStr">
        <is>
          <t>Estudo TP</t>
        </is>
      </c>
      <c r="L5" s="11" t="inlineStr">
        <is>
          <t>Status Geral</t>
        </is>
      </c>
      <c r="M5" s="11" t="inlineStr">
        <is>
          <t>ECF
Concluído</t>
        </is>
      </c>
      <c r="N5" s="11" t="inlineStr">
        <is>
          <t>Apres.
Entregue</t>
        </is>
      </c>
      <c r="O5" s="11" t="inlineStr">
        <is>
          <t>Rel. TP
Entregue</t>
        </is>
      </c>
      <c r="P5" s="11" t="inlineStr">
        <is>
          <t>Incl. LF?</t>
        </is>
      </c>
      <c r="Q5" s="11" t="inlineStr">
        <is>
          <t>Incl. MF?</t>
        </is>
      </c>
      <c r="R5" s="11" t="inlineStr">
        <is>
          <t>Status LF</t>
        </is>
      </c>
      <c r="S5" s="11" t="inlineStr">
        <is>
          <t>Data Acordada</t>
        </is>
      </c>
      <c r="T5" s="11" t="inlineStr">
        <is>
          <t>Status MF</t>
        </is>
      </c>
      <c r="U5" s="11" t="inlineStr">
        <is>
          <t>Revisão
Final</t>
        </is>
      </c>
      <c r="V5" s="11" t="inlineStr">
        <is>
          <t>Status
Envio RFB</t>
        </is>
      </c>
      <c r="W5" s="11" t="inlineStr">
        <is>
          <t>Observações</t>
        </is>
      </c>
      <c r="X5" s="1" t="n"/>
    </row>
    <row r="6" ht="22" customHeight="1" s="110">
      <c r="A6" s="54" t="n">
        <v>1</v>
      </c>
      <c r="B6" s="55" t="inlineStr">
        <is>
          <t>Actia</t>
        </is>
      </c>
      <c r="C6" s="28" t="n"/>
      <c r="D6" s="28" t="n"/>
      <c r="E6" s="5" t="inlineStr">
        <is>
          <t>Juan Herrera</t>
        </is>
      </c>
      <c r="F6" s="5" t="inlineStr">
        <is>
          <t>Julia Loureiro</t>
        </is>
      </c>
      <c r="G6" s="28" t="n"/>
      <c r="H6" s="28" t="n"/>
      <c r="I6" s="54" t="inlineStr">
        <is>
          <t>TAX</t>
        </is>
      </c>
      <c r="J6" s="54" t="n">
        <v>2025</v>
      </c>
      <c r="K6" s="54" t="inlineStr">
        <is>
          <t>S</t>
        </is>
      </c>
      <c r="L6" s="56" t="inlineStr">
        <is>
          <t>Reportado</t>
        </is>
      </c>
      <c r="M6" s="54" t="inlineStr">
        <is>
          <t>N/A</t>
        </is>
      </c>
      <c r="N6" s="54" t="inlineStr">
        <is>
          <t>N/A</t>
        </is>
      </c>
      <c r="O6" s="54" t="inlineStr">
        <is>
          <t>N</t>
        </is>
      </c>
      <c r="P6" s="54" t="inlineStr">
        <is>
          <t>N</t>
        </is>
      </c>
      <c r="Q6" s="54" t="inlineStr">
        <is>
          <t>N</t>
        </is>
      </c>
      <c r="R6" s="5" t="inlineStr">
        <is>
          <t>N/A</t>
        </is>
      </c>
      <c r="S6" s="5" t="inlineStr">
        <is>
          <t>N/A</t>
        </is>
      </c>
      <c r="T6" s="5" t="inlineStr">
        <is>
          <t>N/A</t>
        </is>
      </c>
      <c r="U6" s="54" t="inlineStr">
        <is>
          <t>N/A</t>
        </is>
      </c>
      <c r="V6" s="54" t="inlineStr">
        <is>
          <t>N/A</t>
        </is>
      </c>
      <c r="W6" s="24" t="inlineStr">
        <is>
          <t>Só benchmarking</t>
        </is>
      </c>
      <c r="X6" s="1" t="n"/>
    </row>
    <row r="7" ht="22" customHeight="1" s="110">
      <c r="A7" s="57" t="n">
        <v>2</v>
      </c>
      <c r="B7" s="58" t="inlineStr">
        <is>
          <t>AD Instruments</t>
        </is>
      </c>
      <c r="C7" s="29" t="n"/>
      <c r="D7" s="57" t="inlineStr">
        <is>
          <t>GTB60949</t>
        </is>
      </c>
      <c r="E7" s="8" t="inlineStr">
        <is>
          <t>Giovanna Failache</t>
        </is>
      </c>
      <c r="F7" s="8" t="inlineStr">
        <is>
          <t>Catarina Muniz</t>
        </is>
      </c>
      <c r="G7" s="8" t="inlineStr">
        <is>
          <t>Analis Rossi</t>
        </is>
      </c>
      <c r="H7" s="29" t="n"/>
      <c r="I7" s="57" t="inlineStr">
        <is>
          <t>TAX</t>
        </is>
      </c>
      <c r="J7" s="57" t="n">
        <v>2025</v>
      </c>
      <c r="K7" s="57" t="inlineStr">
        <is>
          <t>S</t>
        </is>
      </c>
      <c r="L7" s="59" t="inlineStr">
        <is>
          <t>Andamento</t>
        </is>
      </c>
      <c r="M7" s="57" t="inlineStr">
        <is>
          <t>S</t>
        </is>
      </c>
      <c r="N7" s="57" t="inlineStr">
        <is>
          <t>N</t>
        </is>
      </c>
      <c r="O7" s="57" t="inlineStr">
        <is>
          <t>N</t>
        </is>
      </c>
      <c r="P7" s="57" t="inlineStr">
        <is>
          <t>N</t>
        </is>
      </c>
      <c r="Q7" s="57" t="inlineStr">
        <is>
          <t>N</t>
        </is>
      </c>
      <c r="R7" s="8" t="inlineStr">
        <is>
          <t>Em revisão gerencial</t>
        </is>
      </c>
      <c r="S7" s="8" t="inlineStr">
        <is>
          <t>N/A</t>
        </is>
      </c>
      <c r="T7" s="8" t="inlineStr">
        <is>
          <t>N/A</t>
        </is>
      </c>
      <c r="U7" s="57" t="inlineStr">
        <is>
          <t>N</t>
        </is>
      </c>
      <c r="V7" s="57" t="inlineStr">
        <is>
          <t>N</t>
        </is>
      </c>
      <c r="W7" s="20" t="inlineStr">
        <is>
          <t>Só ECF e relatório - ECF já enviada</t>
        </is>
      </c>
      <c r="X7" s="1" t="n"/>
    </row>
    <row r="8" ht="22" customHeight="1" s="110">
      <c r="A8" s="54" t="n">
        <v>3</v>
      </c>
      <c r="B8" s="55" t="inlineStr">
        <is>
          <t>Adeka Brasil Representação Comercial Ltda.</t>
        </is>
      </c>
      <c r="C8" s="28" t="n"/>
      <c r="D8" s="54" t="inlineStr">
        <is>
          <t>GTB62397</t>
        </is>
      </c>
      <c r="E8" s="5" t="inlineStr">
        <is>
          <t>Jessica Barbieri</t>
        </is>
      </c>
      <c r="F8" s="28" t="n"/>
      <c r="G8" s="5" t="inlineStr">
        <is>
          <t>Carlos Benfica</t>
        </is>
      </c>
      <c r="H8" s="28" t="n"/>
      <c r="I8" s="54" t="inlineStr">
        <is>
          <t>TAX</t>
        </is>
      </c>
      <c r="J8" s="54" t="n">
        <v>2025</v>
      </c>
      <c r="K8" s="54" t="inlineStr">
        <is>
          <t>S</t>
        </is>
      </c>
      <c r="L8" s="56" t="inlineStr">
        <is>
          <t xml:space="preserve">Reportado </t>
        </is>
      </c>
      <c r="M8" s="54" t="inlineStr">
        <is>
          <t>S</t>
        </is>
      </c>
      <c r="N8" s="54" t="inlineStr">
        <is>
          <t>N/A</t>
        </is>
      </c>
      <c r="O8" s="28" t="n"/>
      <c r="P8" s="54" t="inlineStr">
        <is>
          <t>N</t>
        </is>
      </c>
      <c r="Q8" s="54" t="inlineStr">
        <is>
          <t>N</t>
        </is>
      </c>
      <c r="R8" s="5" t="inlineStr">
        <is>
          <t>N/A</t>
        </is>
      </c>
      <c r="S8" s="28" t="n"/>
      <c r="T8" s="5" t="inlineStr">
        <is>
          <t>N/A</t>
        </is>
      </c>
      <c r="U8" s="54" t="inlineStr">
        <is>
          <t>N/A</t>
        </is>
      </c>
      <c r="V8" s="54" t="inlineStr">
        <is>
          <t>N/A</t>
        </is>
      </c>
      <c r="W8" s="28" t="n"/>
      <c r="X8" s="1" t="n"/>
    </row>
    <row r="9" ht="22" customHeight="1" s="110">
      <c r="A9" s="57" t="n">
        <v>4</v>
      </c>
      <c r="B9" s="58" t="inlineStr">
        <is>
          <t>Adobe (GT Irlanda)</t>
        </is>
      </c>
      <c r="C9" s="29" t="n"/>
      <c r="D9" s="57" t="inlineStr">
        <is>
          <t>GTB66128</t>
        </is>
      </c>
      <c r="E9" s="8" t="inlineStr">
        <is>
          <t>Clarissa Haidar</t>
        </is>
      </c>
      <c r="F9" s="8" t="inlineStr">
        <is>
          <t>-</t>
        </is>
      </c>
      <c r="G9" s="8" t="inlineStr">
        <is>
          <t>-</t>
        </is>
      </c>
      <c r="H9" s="8" t="inlineStr">
        <is>
          <t>-</t>
        </is>
      </c>
      <c r="I9" s="57" t="inlineStr">
        <is>
          <t>TAX</t>
        </is>
      </c>
      <c r="J9" s="57" t="n">
        <v>2025</v>
      </c>
      <c r="K9" s="57" t="inlineStr">
        <is>
          <t>N</t>
        </is>
      </c>
      <c r="L9" s="60" t="inlineStr">
        <is>
          <t>Reportado</t>
        </is>
      </c>
      <c r="M9" s="57" t="inlineStr">
        <is>
          <t>S</t>
        </is>
      </c>
      <c r="N9" s="29" t="n"/>
      <c r="O9" s="29" t="n"/>
      <c r="P9" s="29" t="n"/>
      <c r="Q9" s="29" t="n"/>
      <c r="R9" s="29" t="n"/>
      <c r="S9" s="29" t="n"/>
      <c r="T9" s="29" t="n"/>
      <c r="U9" s="29" t="n"/>
      <c r="V9" s="29" t="n"/>
      <c r="W9" s="29" t="n"/>
      <c r="X9" s="1" t="n"/>
    </row>
    <row r="10" ht="22" customHeight="1" s="110">
      <c r="A10" s="54" t="n">
        <v>5</v>
      </c>
      <c r="B10" s="55" t="inlineStr">
        <is>
          <t>AKDENIZ CHEMSON ADITIVOS LTDA-TP 2025</t>
        </is>
      </c>
      <c r="C10" s="28" t="n"/>
      <c r="D10" s="54" t="inlineStr">
        <is>
          <t>GTB52897</t>
        </is>
      </c>
      <c r="E10" s="5" t="inlineStr">
        <is>
          <t>Juan Herrera</t>
        </is>
      </c>
      <c r="F10" s="5" t="inlineStr">
        <is>
          <t>Julia Loureiro</t>
        </is>
      </c>
      <c r="G10" s="5" t="inlineStr">
        <is>
          <t>Giovanna Caracho</t>
        </is>
      </c>
      <c r="H10" s="5" t="inlineStr">
        <is>
          <t>Bruna Vidal</t>
        </is>
      </c>
      <c r="I10" s="54" t="inlineStr">
        <is>
          <t>TAX</t>
        </is>
      </c>
      <c r="J10" s="54" t="n">
        <v>2025</v>
      </c>
      <c r="K10" s="54" t="inlineStr">
        <is>
          <t>S</t>
        </is>
      </c>
      <c r="L10" s="56" t="inlineStr">
        <is>
          <t>Reportado</t>
        </is>
      </c>
      <c r="M10" s="54" t="inlineStr">
        <is>
          <t>S</t>
        </is>
      </c>
      <c r="N10" s="54" t="inlineStr">
        <is>
          <t>N</t>
        </is>
      </c>
      <c r="O10" s="54" t="inlineStr">
        <is>
          <t>N</t>
        </is>
      </c>
      <c r="P10" s="54" t="inlineStr">
        <is>
          <t>S</t>
        </is>
      </c>
      <c r="Q10" s="54" t="inlineStr">
        <is>
          <t>N</t>
        </is>
      </c>
      <c r="R10" s="28" t="n"/>
      <c r="S10" s="28" t="n"/>
      <c r="T10" s="28" t="n"/>
      <c r="U10" s="28" t="n"/>
      <c r="V10" s="28" t="n"/>
      <c r="W10" s="28" t="n"/>
      <c r="X10" s="1" t="n"/>
    </row>
    <row r="11" ht="22" customHeight="1" s="110">
      <c r="A11" s="57" t="n">
        <v>6</v>
      </c>
      <c r="B11" s="58" t="inlineStr">
        <is>
          <t>Albany</t>
        </is>
      </c>
      <c r="C11" s="29" t="n"/>
      <c r="D11" s="57" t="inlineStr">
        <is>
          <t>GTB63237</t>
        </is>
      </c>
      <c r="E11" s="8" t="inlineStr">
        <is>
          <t>Giovanna Failache</t>
        </is>
      </c>
      <c r="F11" s="8" t="inlineStr">
        <is>
          <t>Julia Loureiro</t>
        </is>
      </c>
      <c r="G11" s="8" t="inlineStr">
        <is>
          <t>Analis Rossi</t>
        </is>
      </c>
      <c r="H11" s="29" t="n"/>
      <c r="I11" s="57" t="inlineStr">
        <is>
          <t>TAX</t>
        </is>
      </c>
      <c r="J11" s="57" t="n">
        <v>2025</v>
      </c>
      <c r="K11" s="57" t="inlineStr">
        <is>
          <t>S</t>
        </is>
      </c>
      <c r="L11" s="59" t="inlineStr">
        <is>
          <t>Andamento</t>
        </is>
      </c>
      <c r="M11" s="57" t="inlineStr">
        <is>
          <t>S</t>
        </is>
      </c>
      <c r="N11" s="57" t="inlineStr">
        <is>
          <t>N</t>
        </is>
      </c>
      <c r="O11" s="57" t="inlineStr">
        <is>
          <t>N</t>
        </is>
      </c>
      <c r="P11" s="57" t="inlineStr">
        <is>
          <t>S</t>
        </is>
      </c>
      <c r="Q11" s="57" t="inlineStr">
        <is>
          <t>N</t>
        </is>
      </c>
      <c r="R11" s="8" t="inlineStr">
        <is>
          <t>Em revisão gerencial</t>
        </is>
      </c>
      <c r="S11" s="8" t="inlineStr">
        <is>
          <t>N/A</t>
        </is>
      </c>
      <c r="T11" s="8" t="inlineStr">
        <is>
          <t>N/A</t>
        </is>
      </c>
      <c r="U11" s="57" t="inlineStr">
        <is>
          <t>N</t>
        </is>
      </c>
      <c r="V11" s="57" t="inlineStr">
        <is>
          <t>N</t>
        </is>
      </c>
      <c r="W11" s="29" t="n"/>
      <c r="X11" s="1" t="n"/>
    </row>
    <row r="12" ht="22" customHeight="1" s="110">
      <c r="A12" s="54" t="n">
        <v>7</v>
      </c>
      <c r="B12" s="55" t="inlineStr">
        <is>
          <t>Alfaparf (GT Itália)</t>
        </is>
      </c>
      <c r="C12" s="28" t="n"/>
      <c r="D12" s="54" t="inlineStr">
        <is>
          <t>GTB64274</t>
        </is>
      </c>
      <c r="E12" s="5" t="inlineStr">
        <is>
          <t>Clarissa Haidar</t>
        </is>
      </c>
      <c r="F12" s="5" t="inlineStr">
        <is>
          <t>-</t>
        </is>
      </c>
      <c r="G12" s="5" t="inlineStr">
        <is>
          <t>-</t>
        </is>
      </c>
      <c r="H12" s="5" t="inlineStr">
        <is>
          <t>Bruna Vidal</t>
        </is>
      </c>
      <c r="I12" s="54" t="inlineStr">
        <is>
          <t>TAX</t>
        </is>
      </c>
      <c r="J12" s="54" t="n">
        <v>2025</v>
      </c>
      <c r="K12" s="28" t="n"/>
      <c r="L12" s="61" t="inlineStr">
        <is>
          <t>Andamento</t>
        </is>
      </c>
      <c r="M12" s="54" t="inlineStr">
        <is>
          <t>S</t>
        </is>
      </c>
      <c r="N12" s="28" t="n"/>
      <c r="O12" s="28" t="n"/>
      <c r="P12" s="54" t="inlineStr">
        <is>
          <t>N</t>
        </is>
      </c>
      <c r="Q12" s="54" t="inlineStr">
        <is>
          <t>N</t>
        </is>
      </c>
      <c r="R12" s="28" t="n"/>
      <c r="S12" s="28" t="n"/>
      <c r="T12" s="28" t="n"/>
      <c r="U12" s="28" t="n"/>
      <c r="V12" s="28" t="n"/>
      <c r="W12" s="28" t="n"/>
      <c r="X12" s="1" t="n"/>
    </row>
    <row r="13" ht="22" customHeight="1" s="110">
      <c r="A13" s="57" t="n">
        <v>8</v>
      </c>
      <c r="B13" s="58" t="inlineStr">
        <is>
          <t xml:space="preserve">Arkema Coatex Brasil </t>
        </is>
      </c>
      <c r="C13" s="29" t="n"/>
      <c r="D13" s="57" t="inlineStr">
        <is>
          <t>GTB63571</t>
        </is>
      </c>
      <c r="E13" s="8" t="inlineStr">
        <is>
          <t>Jessica Barbieri</t>
        </is>
      </c>
      <c r="F13" s="29" t="n"/>
      <c r="G13" s="29" t="n"/>
      <c r="H13" s="8" t="inlineStr">
        <is>
          <t>Kaik Oliveira</t>
        </is>
      </c>
      <c r="I13" s="57" t="inlineStr">
        <is>
          <t>TAX</t>
        </is>
      </c>
      <c r="J13" s="57" t="n">
        <v>2025</v>
      </c>
      <c r="K13" s="29" t="n"/>
      <c r="L13" s="62" t="inlineStr">
        <is>
          <t>Pendência do cliente</t>
        </is>
      </c>
      <c r="M13" s="57" t="inlineStr">
        <is>
          <t>N</t>
        </is>
      </c>
      <c r="N13" s="29" t="n"/>
      <c r="O13" s="29" t="n"/>
      <c r="P13" s="57" t="inlineStr">
        <is>
          <t>S</t>
        </is>
      </c>
      <c r="Q13" s="57" t="inlineStr">
        <is>
          <t>N</t>
        </is>
      </c>
      <c r="R13" s="29" t="n"/>
      <c r="S13" s="29" t="n"/>
      <c r="T13" s="29" t="n"/>
      <c r="U13" s="29" t="n"/>
      <c r="V13" s="29" t="n"/>
      <c r="W13" s="29" t="n"/>
      <c r="X13" s="1" t="n"/>
    </row>
    <row r="14" ht="22" customHeight="1" s="110">
      <c r="A14" s="54" t="n">
        <v>9</v>
      </c>
      <c r="B14" s="55" t="inlineStr">
        <is>
          <t xml:space="preserve">Arr-Maz do Brasil Ltda </t>
        </is>
      </c>
      <c r="C14" s="28" t="n"/>
      <c r="D14" s="54" t="inlineStr">
        <is>
          <t>GTB63806</t>
        </is>
      </c>
      <c r="E14" s="5" t="inlineStr">
        <is>
          <t>Jessica Barbieri</t>
        </is>
      </c>
      <c r="F14" s="28" t="n"/>
      <c r="G14" s="28" t="n"/>
      <c r="H14" s="5" t="inlineStr">
        <is>
          <t>Kaik Oliveira</t>
        </is>
      </c>
      <c r="I14" s="54" t="inlineStr">
        <is>
          <t>TAX</t>
        </is>
      </c>
      <c r="J14" s="54" t="n">
        <v>2025</v>
      </c>
      <c r="K14" s="28" t="n"/>
      <c r="L14" s="63" t="inlineStr">
        <is>
          <t xml:space="preserve">Resportado </t>
        </is>
      </c>
      <c r="M14" s="54" t="inlineStr">
        <is>
          <t>S</t>
        </is>
      </c>
      <c r="N14" s="28" t="n"/>
      <c r="O14" s="28" t="n"/>
      <c r="P14" s="54" t="inlineStr">
        <is>
          <t>N</t>
        </is>
      </c>
      <c r="Q14" s="54" t="inlineStr">
        <is>
          <t>N</t>
        </is>
      </c>
      <c r="R14" s="28" t="n"/>
      <c r="S14" s="28" t="n"/>
      <c r="T14" s="28" t="n"/>
      <c r="U14" s="28" t="n"/>
      <c r="V14" s="28" t="n"/>
      <c r="W14" s="28" t="n"/>
      <c r="X14" s="1" t="n"/>
    </row>
    <row r="15" ht="22" customHeight="1" s="110">
      <c r="A15" s="57" t="n">
        <v>10</v>
      </c>
      <c r="B15" s="58" t="inlineStr">
        <is>
          <t>ARROW BRASIL S/A</t>
        </is>
      </c>
      <c r="C15" s="29" t="n"/>
      <c r="D15" s="57" t="inlineStr">
        <is>
          <t>GTB49030</t>
        </is>
      </c>
      <c r="E15" s="8" t="inlineStr">
        <is>
          <t>Jessica Barbieri</t>
        </is>
      </c>
      <c r="F15" s="8" t="inlineStr">
        <is>
          <t>Julia Loureiro</t>
        </is>
      </c>
      <c r="G15" s="8" t="inlineStr">
        <is>
          <t>Letícia Dantas</t>
        </is>
      </c>
      <c r="H15" s="29" t="n"/>
      <c r="I15" s="57" t="inlineStr">
        <is>
          <t>TAX</t>
        </is>
      </c>
      <c r="J15" s="57" t="n">
        <v>2025</v>
      </c>
      <c r="K15" s="29" t="n"/>
      <c r="L15" s="60" t="inlineStr">
        <is>
          <t>Reportado</t>
        </is>
      </c>
      <c r="M15" s="57" t="inlineStr">
        <is>
          <t>S</t>
        </is>
      </c>
      <c r="N15" s="29" t="n"/>
      <c r="O15" s="29" t="n"/>
      <c r="P15" s="57" t="inlineStr">
        <is>
          <t>S</t>
        </is>
      </c>
      <c r="Q15" s="57" t="inlineStr">
        <is>
          <t>N</t>
        </is>
      </c>
      <c r="R15" s="8" t="inlineStr">
        <is>
          <t>Em revisão gerencial</t>
        </is>
      </c>
      <c r="S15" s="8" t="inlineStr">
        <is>
          <t>Fnales de agosto inicios sep</t>
        </is>
      </c>
      <c r="T15" s="8" t="inlineStr">
        <is>
          <t xml:space="preserve">Recebido </t>
        </is>
      </c>
      <c r="U15" s="29" t="n"/>
      <c r="V15" s="29" t="n"/>
      <c r="W15" s="29" t="n"/>
      <c r="X15" s="1" t="n"/>
    </row>
    <row r="16" ht="22" customHeight="1" s="110">
      <c r="A16" s="54" t="n">
        <v>11</v>
      </c>
      <c r="B16" s="55" t="inlineStr">
        <is>
          <t>Artemyn (ex IRCC)</t>
        </is>
      </c>
      <c r="C16" s="28" t="n"/>
      <c r="D16" s="54" t="inlineStr">
        <is>
          <t>GTB60009</t>
        </is>
      </c>
      <c r="E16" s="5" t="inlineStr">
        <is>
          <t>Jessica Barbieri</t>
        </is>
      </c>
      <c r="F16" s="5" t="inlineStr">
        <is>
          <t>Julia Loureiro</t>
        </is>
      </c>
      <c r="G16" s="5" t="inlineStr">
        <is>
          <t>Giovanna Caracho</t>
        </is>
      </c>
      <c r="H16" s="5" t="inlineStr">
        <is>
          <t>Eduardo Campos</t>
        </is>
      </c>
      <c r="I16" s="54" t="inlineStr">
        <is>
          <t>TAX</t>
        </is>
      </c>
      <c r="J16" s="54" t="n">
        <v>2025</v>
      </c>
      <c r="K16" s="54" t="inlineStr">
        <is>
          <t>S</t>
        </is>
      </c>
      <c r="L16" s="56" t="inlineStr">
        <is>
          <t>Reportado</t>
        </is>
      </c>
      <c r="M16" s="54" t="inlineStr">
        <is>
          <t>S</t>
        </is>
      </c>
      <c r="N16" s="28" t="n"/>
      <c r="O16" s="28" t="n"/>
      <c r="P16" s="54" t="inlineStr">
        <is>
          <t>S</t>
        </is>
      </c>
      <c r="Q16" s="54" t="inlineStr">
        <is>
          <t>N</t>
        </is>
      </c>
      <c r="R16" s="5" t="inlineStr">
        <is>
          <t>Em revisão gerencial</t>
        </is>
      </c>
      <c r="S16" s="28" t="n"/>
      <c r="T16" s="28" t="n"/>
      <c r="U16" s="28" t="n"/>
      <c r="V16" s="28" t="n"/>
      <c r="W16" s="28" t="n"/>
      <c r="X16" s="1" t="n"/>
    </row>
    <row r="17" ht="22" customHeight="1" s="110">
      <c r="A17" s="57" t="n">
        <v>12</v>
      </c>
      <c r="B17" s="58" t="inlineStr">
        <is>
          <t>Audio Technica (GT US)</t>
        </is>
      </c>
      <c r="C17" s="29" t="n"/>
      <c r="D17" s="57" t="inlineStr">
        <is>
          <t>GTB60519</t>
        </is>
      </c>
      <c r="E17" s="8" t="inlineStr">
        <is>
          <t>Jessica Barbieri</t>
        </is>
      </c>
      <c r="F17" s="29" t="n"/>
      <c r="G17" s="29" t="n"/>
      <c r="H17" s="8" t="inlineStr">
        <is>
          <t>Paulo Cavalcante</t>
        </is>
      </c>
      <c r="I17" s="57" t="inlineStr">
        <is>
          <t>TAX</t>
        </is>
      </c>
      <c r="J17" s="57" t="n">
        <v>2025</v>
      </c>
      <c r="K17" s="29" t="n"/>
      <c r="L17" s="60" t="inlineStr">
        <is>
          <t xml:space="preserve">Reportado </t>
        </is>
      </c>
      <c r="M17" s="57" t="inlineStr">
        <is>
          <t>S</t>
        </is>
      </c>
      <c r="N17" s="29" t="n"/>
      <c r="O17" s="29" t="n"/>
      <c r="P17" s="57" t="inlineStr">
        <is>
          <t xml:space="preserve">N </t>
        </is>
      </c>
      <c r="Q17" s="57" t="inlineStr">
        <is>
          <t>N</t>
        </is>
      </c>
      <c r="R17" s="29" t="n"/>
      <c r="S17" s="29" t="n"/>
      <c r="T17" s="29" t="n"/>
      <c r="U17" s="29" t="n"/>
      <c r="V17" s="29" t="n"/>
      <c r="W17" s="29" t="n"/>
      <c r="X17" s="1" t="n"/>
    </row>
    <row r="18" ht="22" customHeight="1" s="110">
      <c r="A18" s="54" t="n">
        <v>13</v>
      </c>
      <c r="B18" s="55" t="inlineStr">
        <is>
          <t>AURORA BEBIDAS E ALIMENTOS FINOS LTDA</t>
        </is>
      </c>
      <c r="C18" s="28" t="n"/>
      <c r="D18" s="54" t="inlineStr">
        <is>
          <t>GTB62213</t>
        </is>
      </c>
      <c r="E18" s="5" t="inlineStr">
        <is>
          <t>Mauricio Daboín</t>
        </is>
      </c>
      <c r="F18" s="5" t="inlineStr">
        <is>
          <t>Catarina Muniz</t>
        </is>
      </c>
      <c r="G18" s="5" t="inlineStr">
        <is>
          <t>Analis Rossi</t>
        </is>
      </c>
      <c r="H18" s="28" t="n"/>
      <c r="I18" s="54" t="inlineStr">
        <is>
          <t>TAX</t>
        </is>
      </c>
      <c r="J18" s="54" t="n">
        <v>2025</v>
      </c>
      <c r="K18" s="54" t="inlineStr">
        <is>
          <t>N/A</t>
        </is>
      </c>
      <c r="L18" s="61" t="inlineStr">
        <is>
          <t>Andamento</t>
        </is>
      </c>
      <c r="M18" s="54" t="inlineStr">
        <is>
          <t>S</t>
        </is>
      </c>
      <c r="N18" s="28" t="n"/>
      <c r="O18" s="54" t="inlineStr">
        <is>
          <t>N/A</t>
        </is>
      </c>
      <c r="P18" s="54" t="inlineStr">
        <is>
          <t>S</t>
        </is>
      </c>
      <c r="Q18" s="54" t="inlineStr">
        <is>
          <t>S</t>
        </is>
      </c>
      <c r="R18" s="28" t="n"/>
      <c r="S18" s="28" t="n"/>
      <c r="T18" s="28" t="n"/>
      <c r="U18" s="28" t="n"/>
      <c r="V18" s="28" t="n"/>
      <c r="W18" s="28" t="n"/>
      <c r="X18" s="1" t="n"/>
    </row>
    <row r="19" ht="22" customHeight="1" s="110">
      <c r="A19" s="57" t="n">
        <v>14</v>
      </c>
      <c r="B19" s="58" t="inlineStr">
        <is>
          <t>Autoneum</t>
        </is>
      </c>
      <c r="C19" s="29" t="n"/>
      <c r="D19" s="57" t="inlineStr">
        <is>
          <t>GTB62218</t>
        </is>
      </c>
      <c r="E19" s="8" t="inlineStr">
        <is>
          <t>Giovanna Failache</t>
        </is>
      </c>
      <c r="F19" s="29" t="n"/>
      <c r="G19" s="8" t="inlineStr">
        <is>
          <t>Letícia Dantas</t>
        </is>
      </c>
      <c r="H19" s="29" t="n"/>
      <c r="I19" s="57" t="inlineStr">
        <is>
          <t>TAX</t>
        </is>
      </c>
      <c r="J19" s="57" t="n">
        <v>2025</v>
      </c>
      <c r="K19" s="29" t="n"/>
      <c r="L19" s="29" t="n"/>
      <c r="M19" s="57" t="inlineStr">
        <is>
          <t>N/A</t>
        </is>
      </c>
      <c r="N19" s="29" t="n"/>
      <c r="O19" s="29" t="n"/>
      <c r="P19" s="29" t="n"/>
      <c r="Q19" s="29" t="n"/>
      <c r="R19" s="29" t="n"/>
      <c r="S19" s="29" t="n"/>
      <c r="T19" s="29" t="n"/>
      <c r="U19" s="29" t="n"/>
      <c r="V19" s="29" t="n"/>
      <c r="W19" s="20" t="inlineStr">
        <is>
          <t>Revisão + benchmarkings</t>
        </is>
      </c>
      <c r="X19" s="1" t="n"/>
    </row>
    <row r="20" ht="22" customHeight="1" s="110">
      <c r="A20" s="54" t="n">
        <v>15</v>
      </c>
      <c r="B20" s="55" t="inlineStr">
        <is>
          <t>BANNER DO BRASIL SERVICOS DE ENGENHARIA LTDA-TP2025</t>
        </is>
      </c>
      <c r="C20" s="28" t="n"/>
      <c r="D20" s="54" t="inlineStr">
        <is>
          <t>GTB62032</t>
        </is>
      </c>
      <c r="E20" s="5" t="inlineStr">
        <is>
          <t>Juan Herrera</t>
        </is>
      </c>
      <c r="F20" s="5" t="inlineStr">
        <is>
          <t>Julia Loureiro</t>
        </is>
      </c>
      <c r="G20" s="5" t="inlineStr">
        <is>
          <t>Letícia Dantas</t>
        </is>
      </c>
      <c r="H20" s="28" t="n"/>
      <c r="I20" s="54" t="inlineStr">
        <is>
          <t>TAX</t>
        </is>
      </c>
      <c r="J20" s="54" t="n">
        <v>2025</v>
      </c>
      <c r="K20" s="54" t="inlineStr">
        <is>
          <t>S</t>
        </is>
      </c>
      <c r="L20" s="56" t="inlineStr">
        <is>
          <t>Reportado</t>
        </is>
      </c>
      <c r="M20" s="54" t="inlineStr">
        <is>
          <t>S</t>
        </is>
      </c>
      <c r="N20" s="54" t="inlineStr">
        <is>
          <t>N/A</t>
        </is>
      </c>
      <c r="O20" s="54" t="inlineStr">
        <is>
          <t>S</t>
        </is>
      </c>
      <c r="P20" s="54" t="inlineStr">
        <is>
          <t>N</t>
        </is>
      </c>
      <c r="Q20" s="54" t="inlineStr">
        <is>
          <t>N</t>
        </is>
      </c>
      <c r="R20" s="5" t="inlineStr">
        <is>
          <t>N/A</t>
        </is>
      </c>
      <c r="S20" s="28" t="n"/>
      <c r="T20" s="28" t="n"/>
      <c r="U20" s="28" t="n"/>
      <c r="V20" s="28" t="n"/>
      <c r="W20" s="28" t="n"/>
      <c r="X20" s="1" t="n"/>
    </row>
    <row r="21" ht="22" customHeight="1" s="110">
      <c r="A21" s="57" t="n">
        <v>16</v>
      </c>
      <c r="B21" s="58" t="inlineStr">
        <is>
          <t>BELLIZ INDUSTRIA, COMERCIO, IMPORTACAO E EXPORTACAO LTDA-TP2025</t>
        </is>
      </c>
      <c r="C21" s="29" t="n"/>
      <c r="D21" s="57" t="inlineStr">
        <is>
          <t>GTB62029</t>
        </is>
      </c>
      <c r="E21" s="8" t="inlineStr">
        <is>
          <t>Juan Herrera</t>
        </is>
      </c>
      <c r="F21" s="8" t="inlineStr">
        <is>
          <t>Catarina Muniz</t>
        </is>
      </c>
      <c r="G21" s="29" t="n"/>
      <c r="H21" s="29" t="n"/>
      <c r="I21" s="57" t="inlineStr">
        <is>
          <t>TAX</t>
        </is>
      </c>
      <c r="J21" s="57" t="n">
        <v>2025</v>
      </c>
      <c r="K21" s="57" t="inlineStr">
        <is>
          <t>S</t>
        </is>
      </c>
      <c r="L21" s="60" t="inlineStr">
        <is>
          <t>Reportado</t>
        </is>
      </c>
      <c r="M21" s="57" t="inlineStr">
        <is>
          <t>S</t>
        </is>
      </c>
      <c r="N21" s="57" t="inlineStr">
        <is>
          <t>N/A</t>
        </is>
      </c>
      <c r="O21" s="57" t="inlineStr">
        <is>
          <t>N</t>
        </is>
      </c>
      <c r="P21" s="57" t="inlineStr">
        <is>
          <t>N</t>
        </is>
      </c>
      <c r="Q21" s="57" t="inlineStr">
        <is>
          <t>N</t>
        </is>
      </c>
      <c r="R21" s="8" t="inlineStr">
        <is>
          <t>N/A</t>
        </is>
      </c>
      <c r="S21" s="29" t="n"/>
      <c r="T21" s="29" t="n"/>
      <c r="U21" s="29" t="n"/>
      <c r="V21" s="29" t="n"/>
      <c r="W21" s="29" t="n"/>
      <c r="X21" s="1" t="n"/>
    </row>
    <row r="22" ht="22" customHeight="1" s="110">
      <c r="A22" s="54" t="n">
        <v>17</v>
      </c>
      <c r="B22" s="55" t="inlineStr">
        <is>
          <t>Bioagri Laboratorio</t>
        </is>
      </c>
      <c r="C22" s="54" t="n">
        <v>2</v>
      </c>
      <c r="D22" s="54" t="inlineStr">
        <is>
          <t>GTB58771</t>
        </is>
      </c>
      <c r="E22" s="5" t="inlineStr">
        <is>
          <t>Jessica Barbieri</t>
        </is>
      </c>
      <c r="F22" s="28" t="n"/>
      <c r="G22" s="5" t="inlineStr">
        <is>
          <t>Carlos Benfica</t>
        </is>
      </c>
      <c r="H22" s="5" t="inlineStr">
        <is>
          <t>Eduardo Campos</t>
        </is>
      </c>
      <c r="I22" s="54" t="inlineStr">
        <is>
          <t>TAX</t>
        </is>
      </c>
      <c r="J22" s="54" t="n">
        <v>2025</v>
      </c>
      <c r="K22" s="54" t="inlineStr">
        <is>
          <t>N</t>
        </is>
      </c>
      <c r="L22" s="56" t="inlineStr">
        <is>
          <t xml:space="preserve">Reportado </t>
        </is>
      </c>
      <c r="M22" s="54" t="inlineStr">
        <is>
          <t>S</t>
        </is>
      </c>
      <c r="N22" s="28" t="n"/>
      <c r="O22" s="28" t="n"/>
      <c r="P22" s="54" t="inlineStr">
        <is>
          <t>N</t>
        </is>
      </c>
      <c r="Q22" s="54" t="inlineStr">
        <is>
          <t>N</t>
        </is>
      </c>
      <c r="R22" s="28" t="n"/>
      <c r="S22" s="28" t="n"/>
      <c r="T22" s="28" t="n"/>
      <c r="U22" s="28" t="n"/>
      <c r="V22" s="28" t="n"/>
      <c r="W22" s="28" t="n"/>
      <c r="X22" s="1" t="n"/>
    </row>
    <row r="23" ht="22" customHeight="1" s="110">
      <c r="A23" s="57" t="n">
        <v>18</v>
      </c>
      <c r="B23" s="58" t="inlineStr">
        <is>
          <t>Bionovis</t>
        </is>
      </c>
      <c r="C23" s="29" t="n"/>
      <c r="D23" s="57" t="inlineStr">
        <is>
          <t>GTB60805</t>
        </is>
      </c>
      <c r="E23" s="8" t="inlineStr">
        <is>
          <t>Mauricio Daboín</t>
        </is>
      </c>
      <c r="F23" s="29" t="n"/>
      <c r="G23" s="8" t="inlineStr">
        <is>
          <t>Giovanna Caracho</t>
        </is>
      </c>
      <c r="H23" s="8" t="inlineStr">
        <is>
          <t>Paulo Cavalcante</t>
        </is>
      </c>
      <c r="I23" s="57" t="inlineStr">
        <is>
          <t>TAX</t>
        </is>
      </c>
      <c r="J23" s="57" t="n">
        <v>2025</v>
      </c>
      <c r="K23" s="57" t="inlineStr">
        <is>
          <t>N/A</t>
        </is>
      </c>
      <c r="L23" s="60" t="inlineStr">
        <is>
          <t>Reportado</t>
        </is>
      </c>
      <c r="M23" s="57" t="inlineStr">
        <is>
          <t>S</t>
        </is>
      </c>
      <c r="N23" s="57" t="inlineStr">
        <is>
          <t>S</t>
        </is>
      </c>
      <c r="O23" s="57" t="inlineStr">
        <is>
          <t>N</t>
        </is>
      </c>
      <c r="P23" s="57" t="inlineStr">
        <is>
          <t>S</t>
        </is>
      </c>
      <c r="Q23" s="57" t="inlineStr">
        <is>
          <t>S</t>
        </is>
      </c>
      <c r="R23" s="29" t="n"/>
      <c r="S23" s="8" t="inlineStr">
        <is>
          <t>N/A</t>
        </is>
      </c>
      <c r="T23" s="29" t="n"/>
      <c r="U23" s="29" t="n"/>
      <c r="V23" s="29" t="n"/>
      <c r="W23" s="29" t="n"/>
      <c r="X23" s="1" t="n"/>
    </row>
    <row r="24" ht="22" customHeight="1" s="110">
      <c r="A24" s="54" t="n">
        <v>19</v>
      </c>
      <c r="B24" s="55" t="inlineStr">
        <is>
          <t>BMW</t>
        </is>
      </c>
      <c r="C24" s="54" t="n">
        <v>2</v>
      </c>
      <c r="D24" s="54" t="inlineStr">
        <is>
          <t>GTB55638 / GTB60818</t>
        </is>
      </c>
      <c r="E24" s="5" t="inlineStr">
        <is>
          <t>Mauricio Daboín</t>
        </is>
      </c>
      <c r="F24" s="5" t="inlineStr">
        <is>
          <t>Julia Loureiro</t>
        </is>
      </c>
      <c r="G24" s="5" t="inlineStr">
        <is>
          <t>Carlos Benfica</t>
        </is>
      </c>
      <c r="H24" s="28" t="n"/>
      <c r="I24" s="54" t="inlineStr">
        <is>
          <t>TAX</t>
        </is>
      </c>
      <c r="J24" s="54" t="inlineStr">
        <is>
          <t>2024 - 2025 - 2026</t>
        </is>
      </c>
      <c r="K24" s="54" t="inlineStr">
        <is>
          <t>S</t>
        </is>
      </c>
      <c r="L24" s="56" t="inlineStr">
        <is>
          <t>Reportado</t>
        </is>
      </c>
      <c r="M24" s="54" t="inlineStr">
        <is>
          <t>S</t>
        </is>
      </c>
      <c r="N24" s="54" t="inlineStr">
        <is>
          <t>S</t>
        </is>
      </c>
      <c r="O24" s="54" t="inlineStr">
        <is>
          <t>N</t>
        </is>
      </c>
      <c r="P24" s="54" t="inlineStr">
        <is>
          <t>S</t>
        </is>
      </c>
      <c r="Q24" s="54" t="inlineStr">
        <is>
          <t>N</t>
        </is>
      </c>
      <c r="R24" s="28" t="n"/>
      <c r="S24" s="5" t="inlineStr">
        <is>
          <t>N/A</t>
        </is>
      </c>
      <c r="T24" s="5" t="inlineStr">
        <is>
          <t>N/A</t>
        </is>
      </c>
      <c r="U24" s="28" t="n"/>
      <c r="V24" s="28" t="n"/>
      <c r="W24" s="28" t="n"/>
      <c r="X24" s="1" t="n"/>
    </row>
    <row r="25" ht="22" customHeight="1" s="110">
      <c r="A25" s="57" t="n">
        <v>20</v>
      </c>
      <c r="B25" s="58" t="inlineStr">
        <is>
          <t>BRANDT SOLUCOES EM AGRICULTURA LTDA</t>
        </is>
      </c>
      <c r="C25" s="29" t="n"/>
      <c r="D25" s="57" t="inlineStr">
        <is>
          <t>GTB58707</t>
        </is>
      </c>
      <c r="E25" s="8" t="inlineStr">
        <is>
          <t>Mauricio Daboín</t>
        </is>
      </c>
      <c r="F25" s="8" t="inlineStr">
        <is>
          <t>Julia Loureiro</t>
        </is>
      </c>
      <c r="G25" s="8" t="inlineStr">
        <is>
          <t>Letícia Dantas</t>
        </is>
      </c>
      <c r="H25" s="29" t="n"/>
      <c r="I25" s="57" t="inlineStr">
        <is>
          <t>TAX</t>
        </is>
      </c>
      <c r="J25" s="57" t="n">
        <v>2025</v>
      </c>
      <c r="K25" s="57" t="inlineStr">
        <is>
          <t>S</t>
        </is>
      </c>
      <c r="L25" s="60" t="inlineStr">
        <is>
          <t>Reportado</t>
        </is>
      </c>
      <c r="M25" s="57" t="inlineStr">
        <is>
          <t>S</t>
        </is>
      </c>
      <c r="N25" s="57" t="inlineStr">
        <is>
          <t>N/A</t>
        </is>
      </c>
      <c r="O25" s="57" t="inlineStr">
        <is>
          <t>S</t>
        </is>
      </c>
      <c r="P25" s="57" t="inlineStr">
        <is>
          <t>S</t>
        </is>
      </c>
      <c r="Q25" s="57" t="inlineStr">
        <is>
          <t>N</t>
        </is>
      </c>
      <c r="R25" s="29" t="n"/>
      <c r="S25" s="8" t="inlineStr">
        <is>
          <t>N/A</t>
        </is>
      </c>
      <c r="T25" s="8" t="inlineStr">
        <is>
          <t>N/A</t>
        </is>
      </c>
      <c r="U25" s="29" t="n"/>
      <c r="V25" s="29" t="n"/>
      <c r="W25" s="29" t="n"/>
      <c r="X25" s="1" t="n"/>
    </row>
    <row r="26" ht="22" customHeight="1" s="110">
      <c r="A26" s="54" t="n">
        <v>21</v>
      </c>
      <c r="B26" s="55" t="inlineStr">
        <is>
          <t>Bry-Air</t>
        </is>
      </c>
      <c r="C26" s="28" t="n"/>
      <c r="D26" s="54" t="inlineStr">
        <is>
          <t>GTB55249</t>
        </is>
      </c>
      <c r="E26" s="5" t="inlineStr">
        <is>
          <t>Clarissa Haidar</t>
        </is>
      </c>
      <c r="F26" s="5" t="inlineStr">
        <is>
          <t>Catarina Muniz</t>
        </is>
      </c>
      <c r="G26" s="5" t="inlineStr">
        <is>
          <t>Giovanna Caracho</t>
        </is>
      </c>
      <c r="H26" s="5" t="inlineStr">
        <is>
          <t>-</t>
        </is>
      </c>
      <c r="I26" s="54" t="inlineStr">
        <is>
          <t>TAX</t>
        </is>
      </c>
      <c r="J26" s="54" t="inlineStr">
        <is>
          <t>2024 - 2025 - 2026</t>
        </is>
      </c>
      <c r="K26" s="28" t="n"/>
      <c r="L26" s="61" t="inlineStr">
        <is>
          <t>Andamento</t>
        </is>
      </c>
      <c r="M26" s="54" t="inlineStr">
        <is>
          <t>S</t>
        </is>
      </c>
      <c r="N26" s="28" t="n"/>
      <c r="O26" s="28" t="n"/>
      <c r="P26" s="54" t="inlineStr">
        <is>
          <t>N</t>
        </is>
      </c>
      <c r="Q26" s="54" t="inlineStr">
        <is>
          <t>N</t>
        </is>
      </c>
      <c r="R26" s="28" t="n"/>
      <c r="S26" s="28" t="n"/>
      <c r="T26" s="28" t="n"/>
      <c r="U26" s="28" t="n"/>
      <c r="V26" s="28" t="n"/>
      <c r="W26" s="28" t="n"/>
      <c r="X26" s="1" t="n"/>
    </row>
    <row r="27" ht="22" customHeight="1" s="110">
      <c r="A27" s="57" t="n">
        <v>22</v>
      </c>
      <c r="B27" s="58" t="inlineStr">
        <is>
          <t>CALOI NORTE AS</t>
        </is>
      </c>
      <c r="C27" s="29" t="n"/>
      <c r="D27" s="57" t="inlineStr">
        <is>
          <t xml:space="preserve"> GTB62237</t>
        </is>
      </c>
      <c r="E27" s="8" t="inlineStr">
        <is>
          <t>Mauricio Daboín</t>
        </is>
      </c>
      <c r="F27" s="8" t="inlineStr">
        <is>
          <t>Catarina Muniz</t>
        </is>
      </c>
      <c r="G27" s="8" t="inlineStr">
        <is>
          <t>Giovanna Caracho</t>
        </is>
      </c>
      <c r="H27" s="29" t="n"/>
      <c r="I27" s="57" t="inlineStr">
        <is>
          <t>TAX</t>
        </is>
      </c>
      <c r="J27" s="57" t="inlineStr">
        <is>
          <t>2025 - 2026</t>
        </is>
      </c>
      <c r="K27" s="57" t="inlineStr">
        <is>
          <t>S</t>
        </is>
      </c>
      <c r="L27" s="62" t="inlineStr">
        <is>
          <t>Inicial</t>
        </is>
      </c>
      <c r="M27" s="57" t="inlineStr">
        <is>
          <t>S</t>
        </is>
      </c>
      <c r="N27" s="57" t="inlineStr">
        <is>
          <t>N</t>
        </is>
      </c>
      <c r="O27" s="57" t="inlineStr">
        <is>
          <t>N</t>
        </is>
      </c>
      <c r="P27" s="57" t="inlineStr">
        <is>
          <t>S</t>
        </is>
      </c>
      <c r="Q27" s="57" t="inlineStr">
        <is>
          <t>N</t>
        </is>
      </c>
      <c r="R27" s="29" t="n"/>
      <c r="S27" s="29" t="n"/>
      <c r="T27" s="29" t="n"/>
      <c r="U27" s="29" t="n"/>
      <c r="V27" s="29" t="n"/>
      <c r="W27" s="29" t="n"/>
      <c r="X27" s="1" t="n"/>
    </row>
    <row r="28" ht="22" customHeight="1" s="110">
      <c r="A28" s="54" t="n">
        <v>23</v>
      </c>
      <c r="B28" s="55" t="inlineStr">
        <is>
          <t>Carbeto de Silicio Sika Brasil</t>
        </is>
      </c>
      <c r="C28" s="28" t="n"/>
      <c r="D28" s="54" t="inlineStr">
        <is>
          <t>GTB64130</t>
        </is>
      </c>
      <c r="E28" s="5" t="inlineStr">
        <is>
          <t>Juan Herrera</t>
        </is>
      </c>
      <c r="F28" s="5" t="inlineStr">
        <is>
          <t>Julia Loureiro</t>
        </is>
      </c>
      <c r="G28" s="5" t="inlineStr">
        <is>
          <t>Letícia Dantas</t>
        </is>
      </c>
      <c r="H28" s="28" t="n"/>
      <c r="I28" s="54" t="inlineStr">
        <is>
          <t>TAX</t>
        </is>
      </c>
      <c r="J28" s="54" t="n">
        <v>2025</v>
      </c>
      <c r="K28" s="54" t="inlineStr">
        <is>
          <t>S</t>
        </is>
      </c>
      <c r="L28" s="56" t="inlineStr">
        <is>
          <t>Reportado</t>
        </is>
      </c>
      <c r="M28" s="54" t="inlineStr">
        <is>
          <t>S</t>
        </is>
      </c>
      <c r="N28" s="54" t="inlineStr">
        <is>
          <t>N</t>
        </is>
      </c>
      <c r="O28" s="54" t="inlineStr">
        <is>
          <t>N/A</t>
        </is>
      </c>
      <c r="P28" s="54" t="inlineStr">
        <is>
          <t>S</t>
        </is>
      </c>
      <c r="Q28" s="54" t="inlineStr">
        <is>
          <t>N</t>
        </is>
      </c>
      <c r="R28" s="28" t="n"/>
      <c r="S28" s="28" t="n"/>
      <c r="T28" s="28" t="n"/>
      <c r="U28" s="28" t="n"/>
      <c r="V28" s="28" t="n"/>
      <c r="W28" s="28" t="n"/>
      <c r="X28" s="1" t="n"/>
    </row>
    <row r="29" ht="22" customHeight="1" s="110">
      <c r="A29" s="57" t="n">
        <v>24</v>
      </c>
      <c r="B29" s="58" t="inlineStr">
        <is>
          <t>CDPQ</t>
        </is>
      </c>
      <c r="C29" s="29" t="n"/>
      <c r="D29" s="57" t="inlineStr">
        <is>
          <t>GTB63560</t>
        </is>
      </c>
      <c r="E29" s="8" t="inlineStr">
        <is>
          <t>Jessica Barbieri</t>
        </is>
      </c>
      <c r="F29" s="29" t="n"/>
      <c r="G29" s="29" t="n"/>
      <c r="H29" s="8" t="inlineStr">
        <is>
          <t>Paulo Cavalcante</t>
        </is>
      </c>
      <c r="I29" s="57" t="inlineStr">
        <is>
          <t>TAX</t>
        </is>
      </c>
      <c r="J29" s="57" t="n">
        <v>2025</v>
      </c>
      <c r="K29" s="29" t="n"/>
      <c r="L29" s="62" t="inlineStr">
        <is>
          <t xml:space="preserve">Resportado </t>
        </is>
      </c>
      <c r="M29" s="57" t="inlineStr">
        <is>
          <t>S</t>
        </is>
      </c>
      <c r="N29" s="29" t="n"/>
      <c r="O29" s="29" t="n"/>
      <c r="P29" s="57" t="inlineStr">
        <is>
          <t>S</t>
        </is>
      </c>
      <c r="Q29" s="57" t="inlineStr">
        <is>
          <t>N</t>
        </is>
      </c>
      <c r="R29" s="29" t="n"/>
      <c r="S29" s="29" t="n"/>
      <c r="T29" s="29" t="n"/>
      <c r="U29" s="29" t="n"/>
      <c r="V29" s="29" t="n"/>
      <c r="W29" s="29" t="n"/>
      <c r="X29" s="1" t="n"/>
    </row>
    <row r="30" ht="22" customHeight="1" s="110">
      <c r="A30" s="54" t="n">
        <v>25</v>
      </c>
      <c r="B30" s="55" t="inlineStr">
        <is>
          <t>CELLEBRITE SOLUCOES DE INTELIGENCIA DIGITAL LTDA.-TP2025</t>
        </is>
      </c>
      <c r="C30" s="28" t="n"/>
      <c r="D30" s="54" t="inlineStr">
        <is>
          <t>GTB54903</t>
        </is>
      </c>
      <c r="E30" s="5" t="inlineStr">
        <is>
          <t>Juan Herrera</t>
        </is>
      </c>
      <c r="F30" s="5" t="inlineStr">
        <is>
          <t>Julia Loureiro</t>
        </is>
      </c>
      <c r="G30" s="5" t="inlineStr">
        <is>
          <t>Leticia Dantas</t>
        </is>
      </c>
      <c r="H30" s="28" t="n"/>
      <c r="I30" s="54" t="inlineStr">
        <is>
          <t>TAX</t>
        </is>
      </c>
      <c r="J30" s="54" t="n">
        <v>2025</v>
      </c>
      <c r="K30" s="54" t="inlineStr">
        <is>
          <t>S</t>
        </is>
      </c>
      <c r="L30" s="56" t="inlineStr">
        <is>
          <t>Reportado</t>
        </is>
      </c>
      <c r="M30" s="54" t="inlineStr">
        <is>
          <t>N/A</t>
        </is>
      </c>
      <c r="N30" s="54" t="inlineStr">
        <is>
          <t>N</t>
        </is>
      </c>
      <c r="O30" s="54" t="inlineStr">
        <is>
          <t>N</t>
        </is>
      </c>
      <c r="P30" s="54" t="inlineStr">
        <is>
          <t>S</t>
        </is>
      </c>
      <c r="Q30" s="54" t="inlineStr">
        <is>
          <t>N</t>
        </is>
      </c>
      <c r="R30" s="28" t="n"/>
      <c r="S30" s="28" t="n"/>
      <c r="T30" s="28" t="n"/>
      <c r="U30" s="28" t="n"/>
      <c r="V30" s="28" t="n"/>
      <c r="W30" s="28" t="n"/>
      <c r="X30" s="1" t="n"/>
    </row>
    <row r="31" ht="22" customHeight="1" s="110">
      <c r="A31" s="57" t="n">
        <v>26</v>
      </c>
      <c r="B31" s="58" t="inlineStr">
        <is>
          <t>Ceragon</t>
        </is>
      </c>
      <c r="C31" s="29" t="n"/>
      <c r="D31" s="57" t="inlineStr">
        <is>
          <t>GTB54852</t>
        </is>
      </c>
      <c r="E31" s="8" t="inlineStr">
        <is>
          <t>Jessica Barbieri</t>
        </is>
      </c>
      <c r="F31" s="29" t="n"/>
      <c r="G31" s="29" t="n"/>
      <c r="H31" s="8" t="inlineStr">
        <is>
          <t>Analis Rossi</t>
        </is>
      </c>
      <c r="I31" s="57" t="inlineStr">
        <is>
          <t>TAX</t>
        </is>
      </c>
      <c r="J31" s="57" t="n">
        <v>2025</v>
      </c>
      <c r="K31" s="57" t="inlineStr">
        <is>
          <t>N</t>
        </is>
      </c>
      <c r="L31" s="60" t="inlineStr">
        <is>
          <t xml:space="preserve">Reportado </t>
        </is>
      </c>
      <c r="M31" s="57" t="inlineStr">
        <is>
          <t>S</t>
        </is>
      </c>
      <c r="N31" s="29" t="n"/>
      <c r="O31" s="29" t="n"/>
      <c r="P31" s="57" t="inlineStr">
        <is>
          <t>S</t>
        </is>
      </c>
      <c r="Q31" s="57" t="inlineStr">
        <is>
          <t>N</t>
        </is>
      </c>
      <c r="R31" s="29" t="n"/>
      <c r="S31" s="29" t="n"/>
      <c r="T31" s="29" t="n"/>
      <c r="U31" s="29" t="n"/>
      <c r="V31" s="29" t="n"/>
      <c r="W31" s="29" t="n"/>
      <c r="X31" s="1" t="n"/>
    </row>
    <row r="32" ht="22" customHeight="1" s="110">
      <c r="A32" s="54" t="n">
        <v>27</v>
      </c>
      <c r="B32" s="55" t="inlineStr">
        <is>
          <t>Cheil</t>
        </is>
      </c>
      <c r="C32" s="28" t="n"/>
      <c r="D32" s="54" t="inlineStr">
        <is>
          <t>GTB62191</t>
        </is>
      </c>
      <c r="E32" s="5" t="inlineStr">
        <is>
          <t>Nathália Marques</t>
        </is>
      </c>
      <c r="F32" s="28" t="n"/>
      <c r="G32" s="5" t="inlineStr">
        <is>
          <t>Letícia Dantas</t>
        </is>
      </c>
      <c r="H32" s="28" t="n"/>
      <c r="I32" s="54" t="inlineStr">
        <is>
          <t>TAX</t>
        </is>
      </c>
      <c r="J32" s="54" t="n">
        <v>2025</v>
      </c>
      <c r="K32" s="54" t="inlineStr">
        <is>
          <t>S</t>
        </is>
      </c>
      <c r="L32" s="63" t="inlineStr">
        <is>
          <t>Inicial</t>
        </is>
      </c>
      <c r="M32" s="54" t="inlineStr">
        <is>
          <t>S</t>
        </is>
      </c>
      <c r="N32" s="54" t="inlineStr">
        <is>
          <t>N</t>
        </is>
      </c>
      <c r="O32" s="54" t="inlineStr">
        <is>
          <t>N</t>
        </is>
      </c>
      <c r="P32" s="54" t="inlineStr">
        <is>
          <t>S</t>
        </is>
      </c>
      <c r="Q32" s="54" t="inlineStr">
        <is>
          <t>N</t>
        </is>
      </c>
      <c r="R32" s="28" t="n"/>
      <c r="S32" s="28" t="n"/>
      <c r="T32" s="28" t="n"/>
      <c r="U32" s="28" t="n"/>
      <c r="V32" s="28" t="n"/>
      <c r="W32" s="28" t="n"/>
      <c r="X32" s="1" t="n"/>
    </row>
    <row r="33" ht="22" customHeight="1" s="110">
      <c r="A33" s="57" t="n">
        <v>28</v>
      </c>
      <c r="B33" s="58" t="inlineStr">
        <is>
          <t>Chipus Microelectrónica</t>
        </is>
      </c>
      <c r="C33" s="29" t="n"/>
      <c r="D33" s="57" t="inlineStr">
        <is>
          <t>GTB63976</t>
        </is>
      </c>
      <c r="E33" s="8" t="inlineStr">
        <is>
          <t>Juan Herrera</t>
        </is>
      </c>
      <c r="F33" s="8" t="inlineStr">
        <is>
          <t>Catarina Muniz</t>
        </is>
      </c>
      <c r="G33" s="29" t="n"/>
      <c r="H33" s="29" t="n"/>
      <c r="I33" s="57" t="inlineStr">
        <is>
          <t>TAX</t>
        </is>
      </c>
      <c r="J33" s="57" t="n">
        <v>2025</v>
      </c>
      <c r="K33" s="57" t="inlineStr">
        <is>
          <t>S</t>
        </is>
      </c>
      <c r="L33" s="60" t="inlineStr">
        <is>
          <t>Reportado</t>
        </is>
      </c>
      <c r="M33" s="57" t="inlineStr">
        <is>
          <t>S</t>
        </is>
      </c>
      <c r="N33" s="57" t="inlineStr">
        <is>
          <t>N/A</t>
        </is>
      </c>
      <c r="O33" s="57" t="inlineStr">
        <is>
          <t>N</t>
        </is>
      </c>
      <c r="P33" s="57" t="inlineStr">
        <is>
          <t>N</t>
        </is>
      </c>
      <c r="Q33" s="57" t="inlineStr">
        <is>
          <t>N</t>
        </is>
      </c>
      <c r="R33" s="29" t="n"/>
      <c r="S33" s="29" t="n"/>
      <c r="T33" s="29" t="n"/>
      <c r="U33" s="29" t="n"/>
      <c r="V33" s="29" t="n"/>
      <c r="W33" s="29" t="n"/>
      <c r="X33" s="1" t="n"/>
    </row>
    <row r="34" ht="22" customHeight="1" s="110">
      <c r="A34" s="54" t="n">
        <v>29</v>
      </c>
      <c r="B34" s="55" t="inlineStr">
        <is>
          <t xml:space="preserve">CIMHSA LTDA </t>
        </is>
      </c>
      <c r="C34" s="28" t="n"/>
      <c r="D34" s="54" t="inlineStr">
        <is>
          <t>GTB65278</t>
        </is>
      </c>
      <c r="E34" s="5" t="inlineStr">
        <is>
          <t>Jessica Barbieri</t>
        </is>
      </c>
      <c r="F34" s="28" t="n"/>
      <c r="G34" s="28" t="n"/>
      <c r="H34" s="5" t="inlineStr">
        <is>
          <t>Paulo Cavalcante</t>
        </is>
      </c>
      <c r="I34" s="54" t="inlineStr">
        <is>
          <t>TAX</t>
        </is>
      </c>
      <c r="J34" s="54" t="n">
        <v>2025</v>
      </c>
      <c r="K34" s="28" t="n"/>
      <c r="L34" s="56" t="inlineStr">
        <is>
          <t xml:space="preserve">Reportado </t>
        </is>
      </c>
      <c r="M34" s="54" t="inlineStr">
        <is>
          <t>S</t>
        </is>
      </c>
      <c r="N34" s="28" t="n"/>
      <c r="O34" s="28" t="n"/>
      <c r="P34" s="54" t="inlineStr">
        <is>
          <t>N</t>
        </is>
      </c>
      <c r="Q34" s="54" t="inlineStr">
        <is>
          <t>N</t>
        </is>
      </c>
      <c r="R34" s="28" t="n"/>
      <c r="S34" s="28" t="n"/>
      <c r="T34" s="28" t="n"/>
      <c r="U34" s="28" t="n"/>
      <c r="V34" s="28" t="n"/>
      <c r="W34" s="28" t="n"/>
      <c r="X34" s="1" t="n"/>
    </row>
    <row r="35" ht="22" customHeight="1" s="110">
      <c r="A35" s="57" t="n">
        <v>30</v>
      </c>
      <c r="B35" s="58" t="inlineStr">
        <is>
          <t>Cinex</t>
        </is>
      </c>
      <c r="C35" s="29" t="n"/>
      <c r="D35" s="57" t="inlineStr">
        <is>
          <t>GTB54388</t>
        </is>
      </c>
      <c r="E35" s="8" t="inlineStr">
        <is>
          <t>Clarissa Haidar</t>
        </is>
      </c>
      <c r="F35" s="8" t="inlineStr">
        <is>
          <t>-</t>
        </is>
      </c>
      <c r="G35" s="8" t="inlineStr">
        <is>
          <t>Giovanna Caracho</t>
        </is>
      </c>
      <c r="H35" s="8" t="inlineStr">
        <is>
          <t>-</t>
        </is>
      </c>
      <c r="I35" s="57" t="inlineStr">
        <is>
          <t>TAX</t>
        </is>
      </c>
      <c r="J35" s="57" t="inlineStr">
        <is>
          <t>2024 - 2025 - 2026</t>
        </is>
      </c>
      <c r="K35" s="29" t="n"/>
      <c r="L35" s="59" t="inlineStr">
        <is>
          <t>Andamento</t>
        </is>
      </c>
      <c r="M35" s="57" t="inlineStr">
        <is>
          <t>S</t>
        </is>
      </c>
      <c r="N35" s="29" t="n"/>
      <c r="O35" s="29" t="n"/>
      <c r="P35" s="57" t="inlineStr">
        <is>
          <t>N</t>
        </is>
      </c>
      <c r="Q35" s="57" t="inlineStr">
        <is>
          <t>N</t>
        </is>
      </c>
      <c r="R35" s="29" t="n"/>
      <c r="S35" s="29" t="n"/>
      <c r="T35" s="29" t="n"/>
      <c r="U35" s="29" t="n"/>
      <c r="V35" s="29" t="n"/>
      <c r="W35" s="29" t="n"/>
      <c r="X35" s="1" t="n"/>
    </row>
    <row r="36" ht="22" customHeight="1" s="110">
      <c r="A36" s="54" t="n">
        <v>31</v>
      </c>
      <c r="B36" s="55" t="inlineStr">
        <is>
          <t>CLYDE INDUSTRIES BRASIL LTDA.</t>
        </is>
      </c>
      <c r="C36" s="28" t="n"/>
      <c r="D36" s="54" t="inlineStr">
        <is>
          <t>GTB62219</t>
        </is>
      </c>
      <c r="E36" s="5" t="inlineStr">
        <is>
          <t>Nathália Marques</t>
        </is>
      </c>
      <c r="F36" s="28" t="n"/>
      <c r="G36" s="5" t="inlineStr">
        <is>
          <t>Letícia Dantas</t>
        </is>
      </c>
      <c r="H36" s="28" t="n"/>
      <c r="I36" s="54" t="inlineStr">
        <is>
          <t>TAX</t>
        </is>
      </c>
      <c r="J36" s="54" t="n">
        <v>2025</v>
      </c>
      <c r="K36" s="54" t="inlineStr">
        <is>
          <t>S</t>
        </is>
      </c>
      <c r="L36" s="56" t="inlineStr">
        <is>
          <t>Reportado</t>
        </is>
      </c>
      <c r="M36" s="54" t="inlineStr">
        <is>
          <t>S</t>
        </is>
      </c>
      <c r="N36" s="54" t="inlineStr">
        <is>
          <t>S</t>
        </is>
      </c>
      <c r="O36" s="54" t="inlineStr">
        <is>
          <t>N</t>
        </is>
      </c>
      <c r="P36" s="54" t="inlineStr">
        <is>
          <t>S</t>
        </is>
      </c>
      <c r="Q36" s="54" t="inlineStr">
        <is>
          <t>N</t>
        </is>
      </c>
      <c r="R36" s="28" t="n"/>
      <c r="S36" s="5" t="inlineStr">
        <is>
          <t>N/A</t>
        </is>
      </c>
      <c r="T36" s="5" t="inlineStr">
        <is>
          <t>N/A</t>
        </is>
      </c>
      <c r="U36" s="28" t="n"/>
      <c r="V36" s="28" t="n"/>
      <c r="W36" s="28" t="n"/>
      <c r="X36" s="1" t="n"/>
    </row>
    <row r="37" ht="22" customHeight="1" s="110">
      <c r="A37" s="57" t="n">
        <v>32</v>
      </c>
      <c r="B37" s="58" t="inlineStr">
        <is>
          <t xml:space="preserve">Colbras Industrial e Comercio Ltda (Softcaps) </t>
        </is>
      </c>
      <c r="C37" s="29" t="n"/>
      <c r="D37" s="57" t="inlineStr">
        <is>
          <t>GTB60940</t>
        </is>
      </c>
      <c r="E37" s="8" t="inlineStr">
        <is>
          <t>Jessica Barbieri</t>
        </is>
      </c>
      <c r="F37" s="29" t="n"/>
      <c r="G37" s="29" t="n"/>
      <c r="H37" s="8" t="inlineStr">
        <is>
          <t>Paulo Cavalcante</t>
        </is>
      </c>
      <c r="I37" s="57" t="inlineStr">
        <is>
          <t>TAX</t>
        </is>
      </c>
      <c r="J37" s="57" t="n">
        <v>2025</v>
      </c>
      <c r="K37" s="29" t="n"/>
      <c r="L37" s="60" t="inlineStr">
        <is>
          <t xml:space="preserve">Reportado </t>
        </is>
      </c>
      <c r="M37" s="57" t="inlineStr">
        <is>
          <t>S</t>
        </is>
      </c>
      <c r="N37" s="29" t="n"/>
      <c r="O37" s="29" t="n"/>
      <c r="P37" s="57" t="inlineStr">
        <is>
          <t>N</t>
        </is>
      </c>
      <c r="Q37" s="57" t="inlineStr">
        <is>
          <t>N</t>
        </is>
      </c>
      <c r="R37" s="29" t="n"/>
      <c r="S37" s="29" t="n"/>
      <c r="T37" s="29" t="n"/>
      <c r="U37" s="29" t="n"/>
      <c r="V37" s="29" t="n"/>
      <c r="W37" s="29" t="n"/>
      <c r="X37" s="1" t="n"/>
    </row>
    <row r="38" ht="22" customHeight="1" s="110">
      <c r="A38" s="54" t="n">
        <v>33</v>
      </c>
      <c r="B38" s="55" t="inlineStr">
        <is>
          <t>Comet (Lemasa)</t>
        </is>
      </c>
      <c r="C38" s="54" t="n">
        <v>2</v>
      </c>
      <c r="D38" s="54" t="inlineStr">
        <is>
          <t>GTB60011</t>
        </is>
      </c>
      <c r="E38" s="5" t="inlineStr">
        <is>
          <t>Jessica Barbieri</t>
        </is>
      </c>
      <c r="F38" s="28" t="n"/>
      <c r="G38" s="5" t="inlineStr">
        <is>
          <t>Giovanna Caracho</t>
        </is>
      </c>
      <c r="H38" s="28" t="n"/>
      <c r="I38" s="54" t="inlineStr">
        <is>
          <t>TAX</t>
        </is>
      </c>
      <c r="J38" s="54" t="n">
        <v>2025</v>
      </c>
      <c r="K38" s="54" t="inlineStr">
        <is>
          <t>N</t>
        </is>
      </c>
      <c r="L38" s="63" t="inlineStr">
        <is>
          <t xml:space="preserve">Resportado </t>
        </is>
      </c>
      <c r="M38" s="54" t="inlineStr">
        <is>
          <t>S</t>
        </is>
      </c>
      <c r="N38" s="28" t="n"/>
      <c r="O38" s="54" t="inlineStr">
        <is>
          <t>S</t>
        </is>
      </c>
      <c r="P38" s="54" t="inlineStr">
        <is>
          <t xml:space="preserve">N </t>
        </is>
      </c>
      <c r="Q38" s="54" t="inlineStr">
        <is>
          <t>N</t>
        </is>
      </c>
      <c r="R38" s="28" t="n"/>
      <c r="S38" s="28" t="n"/>
      <c r="T38" s="28" t="n"/>
      <c r="U38" s="28" t="n"/>
      <c r="V38" s="28" t="n"/>
      <c r="W38" s="28" t="n"/>
      <c r="X38" s="1" t="n"/>
    </row>
    <row r="39" ht="22" customHeight="1" s="110">
      <c r="A39" s="57" t="n">
        <v>34</v>
      </c>
      <c r="B39" s="58" t="inlineStr">
        <is>
          <t>CRS BRANDS INDUSTRIA E COMERCIO S.A</t>
        </is>
      </c>
      <c r="C39" s="29" t="n"/>
      <c r="D39" s="29" t="n"/>
      <c r="E39" s="8" t="inlineStr">
        <is>
          <t>Mauricio Daboín</t>
        </is>
      </c>
      <c r="F39" s="8" t="inlineStr">
        <is>
          <t>Catarina Muniz</t>
        </is>
      </c>
      <c r="G39" s="8" t="inlineStr">
        <is>
          <t>Letícia Dantas</t>
        </is>
      </c>
      <c r="H39" s="29" t="n"/>
      <c r="I39" s="57" t="inlineStr">
        <is>
          <t>TAX</t>
        </is>
      </c>
      <c r="J39" s="57" t="n">
        <v>2025</v>
      </c>
      <c r="K39" s="29" t="n"/>
      <c r="L39" s="29" t="n"/>
      <c r="M39" s="57" t="inlineStr">
        <is>
          <t>S</t>
        </is>
      </c>
      <c r="N39" s="29" t="n"/>
      <c r="O39" s="29" t="n"/>
      <c r="P39" s="29" t="n"/>
      <c r="Q39" s="29" t="n"/>
      <c r="R39" s="29" t="n"/>
      <c r="S39" s="29" t="n"/>
      <c r="T39" s="29" t="n"/>
      <c r="U39" s="29" t="n"/>
      <c r="V39" s="29" t="n"/>
      <c r="W39" s="29" t="n"/>
      <c r="X39" s="1" t="n"/>
    </row>
    <row r="40" ht="22" customHeight="1" s="110">
      <c r="A40" s="54" t="n">
        <v>35</v>
      </c>
      <c r="B40" s="55" t="inlineStr">
        <is>
          <t>De Sangosse</t>
        </is>
      </c>
      <c r="C40" s="28" t="n"/>
      <c r="D40" s="54" t="inlineStr">
        <is>
          <t>GTB60484</t>
        </is>
      </c>
      <c r="E40" s="5" t="inlineStr">
        <is>
          <t>Juan Herrera</t>
        </is>
      </c>
      <c r="F40" s="5" t="inlineStr">
        <is>
          <t>Catarina Muniz</t>
        </is>
      </c>
      <c r="G40" s="28" t="n"/>
      <c r="H40" s="5" t="inlineStr">
        <is>
          <t>Eduardo Campos</t>
        </is>
      </c>
      <c r="I40" s="54" t="inlineStr">
        <is>
          <t>TAX</t>
        </is>
      </c>
      <c r="J40" s="54" t="n">
        <v>2025</v>
      </c>
      <c r="K40" s="54" t="inlineStr">
        <is>
          <t>S</t>
        </is>
      </c>
      <c r="L40" s="56" t="inlineStr">
        <is>
          <t>Reportado</t>
        </is>
      </c>
      <c r="M40" s="54" t="inlineStr">
        <is>
          <t>S</t>
        </is>
      </c>
      <c r="N40" s="54" t="inlineStr">
        <is>
          <t>N</t>
        </is>
      </c>
      <c r="O40" s="54" t="inlineStr">
        <is>
          <t>N/A</t>
        </is>
      </c>
      <c r="P40" s="54" t="inlineStr">
        <is>
          <t>S</t>
        </is>
      </c>
      <c r="Q40" s="54" t="inlineStr">
        <is>
          <t>N</t>
        </is>
      </c>
      <c r="R40" s="28" t="n"/>
      <c r="S40" s="28" t="n"/>
      <c r="T40" s="28" t="n"/>
      <c r="U40" s="28" t="n"/>
      <c r="V40" s="28" t="n"/>
      <c r="W40" s="28" t="n"/>
      <c r="X40" s="1" t="n"/>
    </row>
    <row r="41" ht="22" customHeight="1" s="110">
      <c r="A41" s="57" t="n">
        <v>36</v>
      </c>
      <c r="B41" s="58" t="inlineStr">
        <is>
          <t>DICOMP</t>
        </is>
      </c>
      <c r="C41" s="29" t="n"/>
      <c r="D41" s="57" t="inlineStr">
        <is>
          <t>GTB54872</t>
        </is>
      </c>
      <c r="E41" s="8" t="inlineStr">
        <is>
          <t>Juan Herrera</t>
        </is>
      </c>
      <c r="F41" s="29" t="n"/>
      <c r="G41" s="8" t="inlineStr">
        <is>
          <t>Giovanna Caracho</t>
        </is>
      </c>
      <c r="H41" s="29" t="n"/>
      <c r="I41" s="57" t="inlineStr">
        <is>
          <t>TAX</t>
        </is>
      </c>
      <c r="J41" s="57" t="n">
        <v>2025</v>
      </c>
      <c r="K41" s="57" t="inlineStr">
        <is>
          <t>S</t>
        </is>
      </c>
      <c r="L41" s="60" t="inlineStr">
        <is>
          <t>Reportado</t>
        </is>
      </c>
      <c r="M41" s="57" t="inlineStr">
        <is>
          <t>S</t>
        </is>
      </c>
      <c r="N41" s="57" t="inlineStr">
        <is>
          <t>N</t>
        </is>
      </c>
      <c r="O41" s="57" t="inlineStr">
        <is>
          <t>N/A</t>
        </is>
      </c>
      <c r="P41" s="57" t="inlineStr">
        <is>
          <t>S</t>
        </is>
      </c>
      <c r="Q41" s="57" t="inlineStr">
        <is>
          <t>S</t>
        </is>
      </c>
      <c r="R41" s="29" t="n"/>
      <c r="S41" s="29" t="n"/>
      <c r="T41" s="29" t="n"/>
      <c r="U41" s="29" t="n"/>
      <c r="V41" s="57" t="inlineStr">
        <is>
          <t>Não precisa transmitir</t>
        </is>
      </c>
      <c r="W41" s="29" t="n"/>
      <c r="X41" s="1" t="n"/>
    </row>
    <row r="42" ht="22" customHeight="1" s="110">
      <c r="A42" s="54" t="n">
        <v>37</v>
      </c>
      <c r="B42" s="55" t="inlineStr">
        <is>
          <t>Digital SK</t>
        </is>
      </c>
      <c r="C42" s="28" t="n"/>
      <c r="D42" s="54" t="inlineStr">
        <is>
          <t>GTB54661</t>
        </is>
      </c>
      <c r="E42" s="5" t="inlineStr">
        <is>
          <t>Juan Herrera</t>
        </is>
      </c>
      <c r="F42" s="28" t="n"/>
      <c r="G42" s="28" t="n"/>
      <c r="H42" s="5" t="inlineStr">
        <is>
          <t>Paulo Cavalcanti</t>
        </is>
      </c>
      <c r="I42" s="54" t="inlineStr">
        <is>
          <t>TAX</t>
        </is>
      </c>
      <c r="J42" s="54" t="n">
        <v>2025</v>
      </c>
      <c r="K42" s="54" t="inlineStr">
        <is>
          <t>S</t>
        </is>
      </c>
      <c r="L42" s="56" t="inlineStr">
        <is>
          <t>Reportado</t>
        </is>
      </c>
      <c r="M42" s="54" t="inlineStr">
        <is>
          <t>S</t>
        </is>
      </c>
      <c r="N42" s="54" t="inlineStr">
        <is>
          <t>N</t>
        </is>
      </c>
      <c r="O42" s="54" t="inlineStr">
        <is>
          <t>N/A</t>
        </is>
      </c>
      <c r="P42" s="54" t="inlineStr">
        <is>
          <t>S</t>
        </is>
      </c>
      <c r="Q42" s="54" t="inlineStr">
        <is>
          <t>N</t>
        </is>
      </c>
      <c r="R42" s="28" t="n"/>
      <c r="S42" s="28" t="n"/>
      <c r="T42" s="28" t="n"/>
      <c r="U42" s="28" t="n"/>
      <c r="V42" s="28" t="n"/>
      <c r="W42" s="28" t="n"/>
      <c r="X42" s="1" t="n"/>
    </row>
    <row r="43" ht="22" customHeight="1" s="110">
      <c r="A43" s="57" t="n">
        <v>38</v>
      </c>
      <c r="B43" s="58" t="inlineStr">
        <is>
          <t>Dorf Ketal</t>
        </is>
      </c>
      <c r="C43" s="29" t="n"/>
      <c r="D43" s="57" t="inlineStr">
        <is>
          <t>GTB63833</t>
        </is>
      </c>
      <c r="E43" s="8" t="inlineStr">
        <is>
          <t>Juan Herrera</t>
        </is>
      </c>
      <c r="F43" s="29" t="n"/>
      <c r="G43" s="29" t="n"/>
      <c r="H43" s="8" t="inlineStr">
        <is>
          <t>Kaik Oliveira</t>
        </is>
      </c>
      <c r="I43" s="57" t="inlineStr">
        <is>
          <t>TAX</t>
        </is>
      </c>
      <c r="J43" s="57" t="n">
        <v>2025</v>
      </c>
      <c r="K43" s="57" t="inlineStr">
        <is>
          <t>S</t>
        </is>
      </c>
      <c r="L43" s="60" t="inlineStr">
        <is>
          <t>Reportado</t>
        </is>
      </c>
      <c r="M43" s="57" t="inlineStr">
        <is>
          <t>S</t>
        </is>
      </c>
      <c r="N43" s="57" t="inlineStr">
        <is>
          <t>N</t>
        </is>
      </c>
      <c r="O43" s="57" t="inlineStr">
        <is>
          <t>N/A</t>
        </is>
      </c>
      <c r="P43" s="57" t="inlineStr">
        <is>
          <t>S</t>
        </is>
      </c>
      <c r="Q43" s="57" t="inlineStr">
        <is>
          <t>N</t>
        </is>
      </c>
      <c r="R43" s="29" t="n"/>
      <c r="S43" s="29" t="n"/>
      <c r="T43" s="29" t="n"/>
      <c r="U43" s="29" t="n"/>
      <c r="V43" s="29" t="n"/>
      <c r="W43" s="29" t="n"/>
      <c r="X43" s="1" t="n"/>
    </row>
    <row r="44" ht="22" customHeight="1" s="110">
      <c r="A44" s="54" t="n">
        <v>39</v>
      </c>
      <c r="B44" s="55" t="inlineStr">
        <is>
          <t>DP World</t>
        </is>
      </c>
      <c r="C44" s="28" t="n"/>
      <c r="D44" s="54" t="inlineStr">
        <is>
          <t>GTB60662</t>
        </is>
      </c>
      <c r="E44" s="5" t="inlineStr">
        <is>
          <t>Jessica Barbieri</t>
        </is>
      </c>
      <c r="F44" s="5" t="inlineStr">
        <is>
          <t>Julia Loureiro</t>
        </is>
      </c>
      <c r="G44" s="5" t="inlineStr">
        <is>
          <t>Letícia Dantas</t>
        </is>
      </c>
      <c r="H44" s="28" t="n"/>
      <c r="I44" s="54" t="inlineStr">
        <is>
          <t>TAX</t>
        </is>
      </c>
      <c r="J44" s="54" t="n">
        <v>2025</v>
      </c>
      <c r="K44" s="54" t="inlineStr">
        <is>
          <t>N</t>
        </is>
      </c>
      <c r="L44" s="56" t="inlineStr">
        <is>
          <t xml:space="preserve">Reportado </t>
        </is>
      </c>
      <c r="M44" s="54" t="inlineStr">
        <is>
          <t>S</t>
        </is>
      </c>
      <c r="N44" s="28" t="n"/>
      <c r="O44" s="28" t="n"/>
      <c r="P44" s="54" t="inlineStr">
        <is>
          <t>N</t>
        </is>
      </c>
      <c r="Q44" s="54" t="inlineStr">
        <is>
          <t xml:space="preserve">N </t>
        </is>
      </c>
      <c r="R44" s="28" t="n"/>
      <c r="S44" s="28" t="n"/>
      <c r="T44" s="28" t="n"/>
      <c r="U44" s="28" t="n"/>
      <c r="V44" s="28" t="n"/>
      <c r="W44" s="28" t="n"/>
      <c r="X44" s="1" t="n"/>
    </row>
    <row r="45" ht="22" customHeight="1" s="110">
      <c r="A45" s="57" t="n">
        <v>40</v>
      </c>
      <c r="B45" s="58" t="inlineStr">
        <is>
          <t>Dr. Wolff (GT Alemanha)</t>
        </is>
      </c>
      <c r="C45" s="29" t="n"/>
      <c r="D45" s="57" t="inlineStr">
        <is>
          <t>GTB65013</t>
        </is>
      </c>
      <c r="E45" s="8" t="inlineStr">
        <is>
          <t>Nathália Marques</t>
        </is>
      </c>
      <c r="F45" s="29" t="n"/>
      <c r="G45" s="29" t="n"/>
      <c r="H45" s="8" t="inlineStr">
        <is>
          <t>Bruna Vidal</t>
        </is>
      </c>
      <c r="I45" s="57" t="inlineStr">
        <is>
          <t>TAX</t>
        </is>
      </c>
      <c r="J45" s="57" t="n">
        <v>2025</v>
      </c>
      <c r="K45" s="57" t="inlineStr">
        <is>
          <t>S</t>
        </is>
      </c>
      <c r="L45" s="60" t="inlineStr">
        <is>
          <t>Reportado</t>
        </is>
      </c>
      <c r="M45" s="57" t="inlineStr">
        <is>
          <t>N/A</t>
        </is>
      </c>
      <c r="N45" s="57" t="inlineStr">
        <is>
          <t>N/A</t>
        </is>
      </c>
      <c r="O45" s="57" t="inlineStr">
        <is>
          <t>N/A</t>
        </is>
      </c>
      <c r="P45" s="57" t="inlineStr">
        <is>
          <t>N/A</t>
        </is>
      </c>
      <c r="Q45" s="57" t="inlineStr">
        <is>
          <t>N/A</t>
        </is>
      </c>
      <c r="R45" s="8" t="inlineStr">
        <is>
          <t>N/A</t>
        </is>
      </c>
      <c r="S45" s="8" t="inlineStr">
        <is>
          <t>N/A</t>
        </is>
      </c>
      <c r="T45" s="8" t="inlineStr">
        <is>
          <t>N/A</t>
        </is>
      </c>
      <c r="U45" s="57" t="inlineStr">
        <is>
          <t>N/A</t>
        </is>
      </c>
      <c r="V45" s="57" t="inlineStr">
        <is>
          <t>N/A</t>
        </is>
      </c>
      <c r="W45" s="20" t="inlineStr">
        <is>
          <t>Só benchmarking</t>
        </is>
      </c>
      <c r="X45" s="1" t="n"/>
    </row>
    <row r="46" ht="22" customHeight="1" s="110">
      <c r="A46" s="54" t="n">
        <v>41</v>
      </c>
      <c r="B46" s="55" t="inlineStr">
        <is>
          <t>Driventic (GT Germany)</t>
        </is>
      </c>
      <c r="C46" s="28" t="n"/>
      <c r="D46" s="54" t="inlineStr">
        <is>
          <t>GTB63523</t>
        </is>
      </c>
      <c r="E46" s="5" t="inlineStr">
        <is>
          <t>Mauricio Daboín</t>
        </is>
      </c>
      <c r="F46" s="5" t="inlineStr">
        <is>
          <t>Julia Loureiro</t>
        </is>
      </c>
      <c r="G46" s="28" t="n"/>
      <c r="H46" s="28" t="n"/>
      <c r="I46" s="54" t="inlineStr">
        <is>
          <t>TAX</t>
        </is>
      </c>
      <c r="J46" s="54" t="inlineStr">
        <is>
          <t>N/A</t>
        </is>
      </c>
      <c r="K46" s="54" t="inlineStr">
        <is>
          <t>N</t>
        </is>
      </c>
      <c r="L46" s="63" t="inlineStr">
        <is>
          <t>Reportado (Resposta pata GT Alemanha)</t>
        </is>
      </c>
      <c r="M46" s="54" t="inlineStr">
        <is>
          <t>N/A</t>
        </is>
      </c>
      <c r="N46" s="54" t="inlineStr">
        <is>
          <t>N/A</t>
        </is>
      </c>
      <c r="O46" s="54" t="inlineStr">
        <is>
          <t>N/A</t>
        </is>
      </c>
      <c r="P46" s="54" t="inlineStr">
        <is>
          <t>N</t>
        </is>
      </c>
      <c r="Q46" s="54" t="inlineStr">
        <is>
          <t>N</t>
        </is>
      </c>
      <c r="R46" s="5" t="inlineStr">
        <is>
          <t>N/A</t>
        </is>
      </c>
      <c r="S46" s="5" t="inlineStr">
        <is>
          <t>N/A</t>
        </is>
      </c>
      <c r="T46" s="5" t="inlineStr">
        <is>
          <t>N/A</t>
        </is>
      </c>
      <c r="U46" s="28" t="n"/>
      <c r="V46" s="28" t="n"/>
      <c r="W46" s="24" t="inlineStr">
        <is>
          <t>Apenas respostas via e-mail</t>
        </is>
      </c>
      <c r="X46" s="1" t="n"/>
    </row>
    <row r="47" ht="22" customHeight="1" s="110">
      <c r="A47" s="57" t="n">
        <v>42</v>
      </c>
      <c r="B47" s="58" t="inlineStr">
        <is>
          <t>DTX Aerospace (Drayton)</t>
        </is>
      </c>
      <c r="C47" s="29" t="n"/>
      <c r="D47" s="57" t="inlineStr">
        <is>
          <t>GTB63214</t>
        </is>
      </c>
      <c r="E47" s="8" t="inlineStr">
        <is>
          <t>Juan Herrera</t>
        </is>
      </c>
      <c r="F47" s="8" t="inlineStr">
        <is>
          <t>Julia Loureiro</t>
        </is>
      </c>
      <c r="G47" s="29" t="n"/>
      <c r="H47" s="29" t="n"/>
      <c r="I47" s="57" t="inlineStr">
        <is>
          <t>TAX</t>
        </is>
      </c>
      <c r="J47" s="57" t="n">
        <v>2025</v>
      </c>
      <c r="K47" s="57" t="inlineStr">
        <is>
          <t>S</t>
        </is>
      </c>
      <c r="L47" s="60" t="inlineStr">
        <is>
          <t>Reportado</t>
        </is>
      </c>
      <c r="M47" s="57" t="inlineStr">
        <is>
          <t>S</t>
        </is>
      </c>
      <c r="N47" s="57" t="inlineStr">
        <is>
          <t>N/A</t>
        </is>
      </c>
      <c r="O47" s="57" t="inlineStr">
        <is>
          <t>N</t>
        </is>
      </c>
      <c r="P47" s="57" t="inlineStr">
        <is>
          <t>N</t>
        </is>
      </c>
      <c r="Q47" s="57" t="inlineStr">
        <is>
          <t>N</t>
        </is>
      </c>
      <c r="R47" s="29" t="n"/>
      <c r="S47" s="29" t="n"/>
      <c r="T47" s="29" t="n"/>
      <c r="U47" s="29" t="n"/>
      <c r="V47" s="29" t="n"/>
      <c r="W47" s="29" t="n"/>
      <c r="X47" s="1" t="n"/>
    </row>
    <row r="48" ht="22" customHeight="1" s="110">
      <c r="A48" s="54" t="n">
        <v>43</v>
      </c>
      <c r="B48" s="55" t="inlineStr">
        <is>
          <t>Duferco do Brasil</t>
        </is>
      </c>
      <c r="C48" s="28" t="n"/>
      <c r="D48" s="54" t="inlineStr">
        <is>
          <t>GTB60187</t>
        </is>
      </c>
      <c r="E48" s="5" t="inlineStr">
        <is>
          <t>Clarissa Haidar</t>
        </is>
      </c>
      <c r="F48" s="5" t="inlineStr">
        <is>
          <t>Catarina Muniz</t>
        </is>
      </c>
      <c r="G48" s="5" t="inlineStr">
        <is>
          <t>Giovanna Caracho</t>
        </is>
      </c>
      <c r="H48" s="5" t="inlineStr">
        <is>
          <t>-</t>
        </is>
      </c>
      <c r="I48" s="54" t="inlineStr">
        <is>
          <t>TAX</t>
        </is>
      </c>
      <c r="J48" s="54" t="inlineStr">
        <is>
          <t>2024 - 2025</t>
        </is>
      </c>
      <c r="K48" s="28" t="n"/>
      <c r="L48" s="61" t="inlineStr">
        <is>
          <t>Andamento</t>
        </is>
      </c>
      <c r="M48" s="54" t="inlineStr">
        <is>
          <t>S</t>
        </is>
      </c>
      <c r="N48" s="28" t="n"/>
      <c r="O48" s="28" t="n"/>
      <c r="P48" s="54" t="inlineStr">
        <is>
          <t>S</t>
        </is>
      </c>
      <c r="Q48" s="54" t="inlineStr">
        <is>
          <t>N</t>
        </is>
      </c>
      <c r="R48" s="28" t="n"/>
      <c r="S48" s="28" t="n"/>
      <c r="T48" s="28" t="n"/>
      <c r="U48" s="28" t="n"/>
      <c r="V48" s="28" t="n"/>
      <c r="W48" s="28" t="n"/>
      <c r="X48" s="1" t="n"/>
    </row>
    <row r="49" ht="22" customHeight="1" s="110">
      <c r="A49" s="57" t="n">
        <v>44</v>
      </c>
      <c r="B49" s="58" t="inlineStr">
        <is>
          <t>Duravant</t>
        </is>
      </c>
      <c r="C49" s="57" t="n">
        <v>2</v>
      </c>
      <c r="D49" s="57" t="inlineStr">
        <is>
          <t>GTB65087</t>
        </is>
      </c>
      <c r="E49" s="8" t="inlineStr">
        <is>
          <t>Clarissa Haidar</t>
        </is>
      </c>
      <c r="F49" s="8" t="inlineStr">
        <is>
          <t>Julia Loureiro</t>
        </is>
      </c>
      <c r="G49" s="8" t="inlineStr">
        <is>
          <t>Leticia Dantas</t>
        </is>
      </c>
      <c r="H49" s="8" t="inlineStr">
        <is>
          <t>-</t>
        </is>
      </c>
      <c r="I49" s="57" t="inlineStr">
        <is>
          <t>TAX</t>
        </is>
      </c>
      <c r="J49" s="57" t="n">
        <v>2025</v>
      </c>
      <c r="K49" s="29" t="n"/>
      <c r="L49" s="59" t="inlineStr">
        <is>
          <t>Andamento</t>
        </is>
      </c>
      <c r="M49" s="57" t="inlineStr">
        <is>
          <t>S</t>
        </is>
      </c>
      <c r="N49" s="29" t="n"/>
      <c r="O49" s="29" t="n"/>
      <c r="P49" s="57" t="inlineStr">
        <is>
          <t>S</t>
        </is>
      </c>
      <c r="Q49" s="57" t="inlineStr">
        <is>
          <t>N</t>
        </is>
      </c>
      <c r="R49" s="29" t="n"/>
      <c r="S49" s="29" t="n"/>
      <c r="T49" s="29" t="n"/>
      <c r="U49" s="29" t="n"/>
      <c r="V49" s="29" t="n"/>
      <c r="W49" s="29" t="n"/>
      <c r="X49" s="1" t="n"/>
    </row>
    <row r="50" ht="22" customHeight="1" s="110">
      <c r="A50" s="54" t="n">
        <v>45</v>
      </c>
      <c r="B50" s="55" t="inlineStr">
        <is>
          <t>EBM Engenharia</t>
        </is>
      </c>
      <c r="C50" s="28" t="n"/>
      <c r="D50" s="54" t="inlineStr">
        <is>
          <t>GTB57197</t>
        </is>
      </c>
      <c r="E50" s="5" t="inlineStr">
        <is>
          <t>Mauricio Daboín</t>
        </is>
      </c>
      <c r="F50" s="28" t="n"/>
      <c r="G50" s="5" t="inlineStr">
        <is>
          <t>Bruna Vidal</t>
        </is>
      </c>
      <c r="H50" s="28" t="n"/>
      <c r="I50" s="54" t="inlineStr">
        <is>
          <t>TAX</t>
        </is>
      </c>
      <c r="J50" s="54" t="n">
        <v>2024</v>
      </c>
      <c r="K50" s="54" t="inlineStr">
        <is>
          <t>N</t>
        </is>
      </c>
      <c r="L50" s="63" t="inlineStr">
        <is>
          <t>Pendência do cliente</t>
        </is>
      </c>
      <c r="M50" s="54" t="inlineStr">
        <is>
          <t>N</t>
        </is>
      </c>
      <c r="N50" s="54" t="inlineStr">
        <is>
          <t>N</t>
        </is>
      </c>
      <c r="O50" s="54" t="inlineStr">
        <is>
          <t>N</t>
        </is>
      </c>
      <c r="P50" s="54" t="inlineStr">
        <is>
          <t>N</t>
        </is>
      </c>
      <c r="Q50" s="54" t="inlineStr">
        <is>
          <t>N</t>
        </is>
      </c>
      <c r="R50" s="5" t="inlineStr">
        <is>
          <t>N/A</t>
        </is>
      </c>
      <c r="S50" s="5" t="inlineStr">
        <is>
          <t>N/A</t>
        </is>
      </c>
      <c r="T50" s="5" t="inlineStr">
        <is>
          <t>N/A</t>
        </is>
      </c>
      <c r="U50" s="28" t="n"/>
      <c r="V50" s="28" t="n"/>
      <c r="W50" s="28" t="n"/>
      <c r="X50" s="1" t="n"/>
    </row>
    <row r="51" ht="22" customHeight="1" s="110">
      <c r="A51" s="57" t="n">
        <v>46</v>
      </c>
      <c r="B51" s="58" t="inlineStr">
        <is>
          <t>Egis Engenharia</t>
        </is>
      </c>
      <c r="C51" s="29" t="n"/>
      <c r="D51" s="57" t="inlineStr">
        <is>
          <t>GTB62508</t>
        </is>
      </c>
      <c r="E51" s="8" t="inlineStr">
        <is>
          <t>Clarissa Haidar</t>
        </is>
      </c>
      <c r="F51" s="8" t="inlineStr">
        <is>
          <t>Julia Loureiro</t>
        </is>
      </c>
      <c r="G51" s="8" t="inlineStr">
        <is>
          <t>Letícia Dantas</t>
        </is>
      </c>
      <c r="H51" s="8" t="inlineStr">
        <is>
          <t>-</t>
        </is>
      </c>
      <c r="I51" s="57" t="inlineStr">
        <is>
          <t>TAX</t>
        </is>
      </c>
      <c r="J51" s="57" t="n">
        <v>2025</v>
      </c>
      <c r="K51" s="29" t="n"/>
      <c r="L51" s="59" t="inlineStr">
        <is>
          <t>Andamento</t>
        </is>
      </c>
      <c r="M51" s="57" t="inlineStr">
        <is>
          <t>S</t>
        </is>
      </c>
      <c r="N51" s="29" t="n"/>
      <c r="O51" s="29" t="n"/>
      <c r="P51" s="57" t="inlineStr">
        <is>
          <t>N</t>
        </is>
      </c>
      <c r="Q51" s="57" t="inlineStr">
        <is>
          <t>N</t>
        </is>
      </c>
      <c r="R51" s="29" t="n"/>
      <c r="S51" s="29" t="n"/>
      <c r="T51" s="29" t="n"/>
      <c r="U51" s="29" t="n"/>
      <c r="V51" s="29" t="n"/>
      <c r="W51" s="29" t="n"/>
      <c r="X51" s="1" t="n"/>
    </row>
    <row r="52" ht="22" customHeight="1" s="110">
      <c r="A52" s="54" t="n">
        <v>47</v>
      </c>
      <c r="B52" s="55" t="inlineStr">
        <is>
          <t>Embraport</t>
        </is>
      </c>
      <c r="C52" s="28" t="n"/>
      <c r="D52" s="54" t="inlineStr">
        <is>
          <t>GTB60662</t>
        </is>
      </c>
      <c r="E52" s="5" t="inlineStr">
        <is>
          <t>Jessica Barbieri</t>
        </is>
      </c>
      <c r="F52" s="5" t="inlineStr">
        <is>
          <t>Julia Loureiro</t>
        </is>
      </c>
      <c r="G52" s="5" t="inlineStr">
        <is>
          <t>Letícia Dantas</t>
        </is>
      </c>
      <c r="H52" s="28" t="n"/>
      <c r="I52" s="54" t="inlineStr">
        <is>
          <t>TAX</t>
        </is>
      </c>
      <c r="J52" s="54" t="n">
        <v>2025</v>
      </c>
      <c r="K52" s="54" t="inlineStr">
        <is>
          <t>N</t>
        </is>
      </c>
      <c r="L52" s="56" t="inlineStr">
        <is>
          <t>Reportado</t>
        </is>
      </c>
      <c r="M52" s="54" t="inlineStr">
        <is>
          <t>S</t>
        </is>
      </c>
      <c r="N52" s="28" t="n"/>
      <c r="O52" s="28" t="n"/>
      <c r="P52" s="54" t="inlineStr">
        <is>
          <t>S</t>
        </is>
      </c>
      <c r="Q52" s="54" t="inlineStr">
        <is>
          <t>N</t>
        </is>
      </c>
      <c r="R52" s="28" t="n"/>
      <c r="S52" s="28" t="n"/>
      <c r="T52" s="28" t="n"/>
      <c r="U52" s="28" t="n"/>
      <c r="V52" s="28" t="n"/>
      <c r="W52" s="28" t="n"/>
      <c r="X52" s="1" t="n"/>
    </row>
    <row r="53" ht="22" customHeight="1" s="110">
      <c r="A53" s="57" t="n">
        <v>48</v>
      </c>
      <c r="B53" s="58" t="inlineStr">
        <is>
          <t>Essex Brazil (GT US)</t>
        </is>
      </c>
      <c r="C53" s="29" t="n"/>
      <c r="D53" s="57" t="inlineStr">
        <is>
          <t>GTB64029</t>
        </is>
      </c>
      <c r="E53" s="8" t="inlineStr">
        <is>
          <t>Clarissa Haidar</t>
        </is>
      </c>
      <c r="F53" s="8" t="inlineStr">
        <is>
          <t>Catarina Muniz</t>
        </is>
      </c>
      <c r="G53" s="8" t="inlineStr">
        <is>
          <t>Analis Rossi</t>
        </is>
      </c>
      <c r="H53" s="8" t="inlineStr">
        <is>
          <t>-</t>
        </is>
      </c>
      <c r="I53" s="57" t="inlineStr">
        <is>
          <t>TAX</t>
        </is>
      </c>
      <c r="J53" s="57" t="n">
        <v>2025</v>
      </c>
      <c r="K53" s="29" t="n"/>
      <c r="L53" s="59" t="inlineStr">
        <is>
          <t>Andamento</t>
        </is>
      </c>
      <c r="M53" s="57" t="inlineStr">
        <is>
          <t>S</t>
        </is>
      </c>
      <c r="N53" s="29" t="n"/>
      <c r="O53" s="29" t="n"/>
      <c r="P53" s="57" t="inlineStr">
        <is>
          <t>S</t>
        </is>
      </c>
      <c r="Q53" s="57" t="inlineStr">
        <is>
          <t>N</t>
        </is>
      </c>
      <c r="R53" s="29" t="n"/>
      <c r="S53" s="29" t="n"/>
      <c r="T53" s="29" t="n"/>
      <c r="U53" s="29" t="n"/>
      <c r="V53" s="29" t="n"/>
      <c r="W53" s="29" t="n"/>
      <c r="X53" s="1" t="n"/>
    </row>
    <row r="54" ht="22" customHeight="1" s="110">
      <c r="A54" s="54" t="n">
        <v>49</v>
      </c>
      <c r="B54" s="55" t="inlineStr">
        <is>
          <t>Euromonitor</t>
        </is>
      </c>
      <c r="C54" s="28" t="n"/>
      <c r="D54" s="54" t="inlineStr">
        <is>
          <t>GTB48523</t>
        </is>
      </c>
      <c r="E54" s="5" t="inlineStr">
        <is>
          <t>Mauricio Daboín</t>
        </is>
      </c>
      <c r="F54" s="5" t="inlineStr">
        <is>
          <t>Julia Loureiro</t>
        </is>
      </c>
      <c r="G54" s="5" t="inlineStr">
        <is>
          <t>Carlos Benfica</t>
        </is>
      </c>
      <c r="H54" s="28" t="n"/>
      <c r="I54" s="54" t="inlineStr">
        <is>
          <t>TAX</t>
        </is>
      </c>
      <c r="J54" s="54" t="inlineStr">
        <is>
          <t>2024 - 2025 - 2026</t>
        </is>
      </c>
      <c r="K54" s="54" t="inlineStr">
        <is>
          <t>S</t>
        </is>
      </c>
      <c r="L54" s="56" t="inlineStr">
        <is>
          <t>Reportado</t>
        </is>
      </c>
      <c r="M54" s="54" t="inlineStr">
        <is>
          <t>S</t>
        </is>
      </c>
      <c r="N54" s="54" t="inlineStr">
        <is>
          <t>S</t>
        </is>
      </c>
      <c r="O54" s="54" t="inlineStr">
        <is>
          <t>S</t>
        </is>
      </c>
      <c r="P54" s="54" t="inlineStr">
        <is>
          <t>S</t>
        </is>
      </c>
      <c r="Q54" s="54" t="inlineStr">
        <is>
          <t>N</t>
        </is>
      </c>
      <c r="R54" s="28" t="n"/>
      <c r="S54" s="5" t="inlineStr">
        <is>
          <t>N/A</t>
        </is>
      </c>
      <c r="T54" s="5" t="inlineStr">
        <is>
          <t>N/A</t>
        </is>
      </c>
      <c r="U54" s="28" t="n"/>
      <c r="V54" s="28" t="n"/>
      <c r="W54" s="28" t="n"/>
      <c r="X54" s="1" t="n"/>
    </row>
    <row r="55" ht="22" customHeight="1" s="110">
      <c r="A55" s="57" t="n">
        <v>50</v>
      </c>
      <c r="B55" s="58" t="inlineStr">
        <is>
          <t>FANUC SOUTH AMERICA EQUIPAMENTOS DE AUTOMACAO E SERVICOS LTDA.</t>
        </is>
      </c>
      <c r="C55" s="29" t="n"/>
      <c r="D55" s="57" t="inlineStr">
        <is>
          <t>GTB62221</t>
        </is>
      </c>
      <c r="E55" s="8" t="inlineStr">
        <is>
          <t>Nathália Marques</t>
        </is>
      </c>
      <c r="F55" s="8" t="inlineStr">
        <is>
          <t>Catarina Muniz</t>
        </is>
      </c>
      <c r="G55" s="29" t="n"/>
      <c r="H55" s="8" t="inlineStr">
        <is>
          <t>Kaik Oliveira</t>
        </is>
      </c>
      <c r="I55" s="57" t="inlineStr">
        <is>
          <t>TAX</t>
        </is>
      </c>
      <c r="J55" s="57" t="n">
        <v>2025</v>
      </c>
      <c r="K55" s="57" t="inlineStr">
        <is>
          <t>S</t>
        </is>
      </c>
      <c r="L55" s="60" t="inlineStr">
        <is>
          <t>Reportado</t>
        </is>
      </c>
      <c r="M55" s="57" t="inlineStr">
        <is>
          <t>S</t>
        </is>
      </c>
      <c r="N55" s="57" t="inlineStr">
        <is>
          <t>S</t>
        </is>
      </c>
      <c r="O55" s="57" t="inlineStr">
        <is>
          <t>N</t>
        </is>
      </c>
      <c r="P55" s="57" t="inlineStr">
        <is>
          <t>S</t>
        </is>
      </c>
      <c r="Q55" s="57" t="inlineStr">
        <is>
          <t>N</t>
        </is>
      </c>
      <c r="R55" s="29" t="n"/>
      <c r="S55" s="8" t="inlineStr">
        <is>
          <t>N/A</t>
        </is>
      </c>
      <c r="T55" s="8" t="inlineStr">
        <is>
          <t>N/A</t>
        </is>
      </c>
      <c r="U55" s="29" t="n"/>
      <c r="V55" s="29" t="n"/>
      <c r="W55" s="29" t="n"/>
      <c r="X55" s="1" t="n"/>
    </row>
    <row r="56" ht="22" customHeight="1" s="110">
      <c r="A56" s="54" t="n">
        <v>51</v>
      </c>
      <c r="B56" s="55" t="inlineStr">
        <is>
          <t>FICO (GT US)</t>
        </is>
      </c>
      <c r="C56" s="28" t="n"/>
      <c r="D56" s="54" t="inlineStr">
        <is>
          <t>GTB63333</t>
        </is>
      </c>
      <c r="E56" s="5" t="inlineStr">
        <is>
          <t>Giovanna Failache</t>
        </is>
      </c>
      <c r="F56" s="28" t="n"/>
      <c r="G56" s="28" t="n"/>
      <c r="H56" s="5" t="inlineStr">
        <is>
          <t>Eduardo Campos</t>
        </is>
      </c>
      <c r="I56" s="54" t="inlineStr">
        <is>
          <t>TAX</t>
        </is>
      </c>
      <c r="J56" s="54" t="n">
        <v>2025</v>
      </c>
      <c r="K56" s="54" t="inlineStr">
        <is>
          <t>S</t>
        </is>
      </c>
      <c r="L56" s="56" t="inlineStr">
        <is>
          <t>Reportado</t>
        </is>
      </c>
      <c r="M56" s="54" t="inlineStr">
        <is>
          <t>S</t>
        </is>
      </c>
      <c r="N56" s="54" t="inlineStr">
        <is>
          <t>S</t>
        </is>
      </c>
      <c r="O56" s="54" t="inlineStr">
        <is>
          <t>S</t>
        </is>
      </c>
      <c r="P56" s="54" t="inlineStr">
        <is>
          <t>S</t>
        </is>
      </c>
      <c r="Q56" s="54" t="inlineStr">
        <is>
          <t>N</t>
        </is>
      </c>
      <c r="R56" s="5" t="inlineStr">
        <is>
          <t>Enviado ao Cliente</t>
        </is>
      </c>
      <c r="S56" s="5" t="inlineStr">
        <is>
          <t>N/A</t>
        </is>
      </c>
      <c r="T56" s="5" t="inlineStr">
        <is>
          <t>N/A</t>
        </is>
      </c>
      <c r="U56" s="54" t="inlineStr">
        <is>
          <t>N</t>
        </is>
      </c>
      <c r="V56" s="54" t="inlineStr">
        <is>
          <t>N</t>
        </is>
      </c>
      <c r="W56" s="28" t="n"/>
      <c r="X56" s="1" t="n"/>
    </row>
    <row r="57" ht="22" customHeight="1" s="110">
      <c r="A57" s="57" t="n">
        <v>52</v>
      </c>
      <c r="B57" s="58" t="inlineStr">
        <is>
          <t xml:space="preserve">Foton Motor do Brasil Vendas Ltda. </t>
        </is>
      </c>
      <c r="C57" s="29" t="n"/>
      <c r="D57" s="57" t="inlineStr">
        <is>
          <t>GTB62222</t>
        </is>
      </c>
      <c r="E57" s="8" t="inlineStr">
        <is>
          <t>Jessica Barbieri</t>
        </is>
      </c>
      <c r="F57" s="29" t="n"/>
      <c r="G57" s="29" t="n"/>
      <c r="H57" s="8" t="inlineStr">
        <is>
          <t>Bruna Vidal</t>
        </is>
      </c>
      <c r="I57" s="57" t="inlineStr">
        <is>
          <t>TAX</t>
        </is>
      </c>
      <c r="J57" s="57" t="n">
        <v>2025</v>
      </c>
      <c r="K57" s="29" t="n"/>
      <c r="L57" s="62" t="inlineStr">
        <is>
          <t xml:space="preserve">Resportado </t>
        </is>
      </c>
      <c r="M57" s="57" t="inlineStr">
        <is>
          <t>S</t>
        </is>
      </c>
      <c r="N57" s="29" t="n"/>
      <c r="O57" s="29" t="n"/>
      <c r="P57" s="57" t="inlineStr">
        <is>
          <t>S</t>
        </is>
      </c>
      <c r="Q57" s="57" t="inlineStr">
        <is>
          <t>N</t>
        </is>
      </c>
      <c r="R57" s="29" t="n"/>
      <c r="S57" s="29" t="n"/>
      <c r="T57" s="29" t="n"/>
      <c r="U57" s="29" t="n"/>
      <c r="V57" s="29" t="n"/>
      <c r="W57" s="29" t="n"/>
      <c r="X57" s="1" t="n"/>
    </row>
    <row r="58" ht="22" customHeight="1" s="110">
      <c r="A58" s="54" t="n">
        <v>53</v>
      </c>
      <c r="B58" s="55" t="inlineStr">
        <is>
          <t>FRANKE SISTEMAS DE COZINHAS DO BRASIL LTDA-TP2025</t>
        </is>
      </c>
      <c r="C58" s="28" t="n"/>
      <c r="D58" s="54" t="inlineStr">
        <is>
          <t>GTB49196</t>
        </is>
      </c>
      <c r="E58" s="5" t="inlineStr">
        <is>
          <t>Juan Herrera</t>
        </is>
      </c>
      <c r="F58" s="5" t="inlineStr">
        <is>
          <t>Catarina Muniz</t>
        </is>
      </c>
      <c r="G58" s="28" t="n"/>
      <c r="H58" s="28" t="n"/>
      <c r="I58" s="54" t="inlineStr">
        <is>
          <t>TAX</t>
        </is>
      </c>
      <c r="J58" s="54" t="n">
        <v>2025</v>
      </c>
      <c r="K58" s="54" t="inlineStr">
        <is>
          <t>S</t>
        </is>
      </c>
      <c r="L58" s="56" t="inlineStr">
        <is>
          <t>Reportado</t>
        </is>
      </c>
      <c r="M58" s="54" t="inlineStr">
        <is>
          <t>S</t>
        </is>
      </c>
      <c r="N58" s="54" t="inlineStr">
        <is>
          <t>N</t>
        </is>
      </c>
      <c r="O58" s="54" t="inlineStr">
        <is>
          <t>N</t>
        </is>
      </c>
      <c r="P58" s="54" t="inlineStr">
        <is>
          <t>S</t>
        </is>
      </c>
      <c r="Q58" s="54" t="inlineStr">
        <is>
          <t>N</t>
        </is>
      </c>
      <c r="R58" s="28" t="n"/>
      <c r="S58" s="28" t="n"/>
      <c r="T58" s="28" t="n"/>
      <c r="U58" s="28" t="n"/>
      <c r="V58" s="28" t="n"/>
      <c r="W58" s="28" t="n"/>
      <c r="X58" s="1" t="n"/>
    </row>
    <row r="59" ht="22" customHeight="1" s="110">
      <c r="A59" s="57" t="n">
        <v>54</v>
      </c>
      <c r="B59" s="58" t="inlineStr">
        <is>
          <t>FROST FRIO REFRIGERACAO INDUSTRIAL AS-TP 2025</t>
        </is>
      </c>
      <c r="C59" s="29" t="n"/>
      <c r="D59" s="57" t="inlineStr">
        <is>
          <t>GTB57606</t>
        </is>
      </c>
      <c r="E59" s="8" t="inlineStr">
        <is>
          <t>Juan Herrera</t>
        </is>
      </c>
      <c r="F59" s="29" t="n"/>
      <c r="G59" s="29" t="n"/>
      <c r="H59" s="8" t="inlineStr">
        <is>
          <t>Eduardo Campos</t>
        </is>
      </c>
      <c r="I59" s="57" t="inlineStr">
        <is>
          <t>TAX</t>
        </is>
      </c>
      <c r="J59" s="57" t="n">
        <v>2025</v>
      </c>
      <c r="K59" s="57" t="inlineStr">
        <is>
          <t>S</t>
        </is>
      </c>
      <c r="L59" s="60" t="inlineStr">
        <is>
          <t>Reportado</t>
        </is>
      </c>
      <c r="M59" s="57" t="inlineStr">
        <is>
          <t>S</t>
        </is>
      </c>
      <c r="N59" s="57" t="inlineStr">
        <is>
          <t>N</t>
        </is>
      </c>
      <c r="O59" s="57" t="inlineStr">
        <is>
          <t>N/A</t>
        </is>
      </c>
      <c r="P59" s="57" t="inlineStr">
        <is>
          <t>S</t>
        </is>
      </c>
      <c r="Q59" s="57" t="inlineStr">
        <is>
          <t>N</t>
        </is>
      </c>
      <c r="R59" s="29" t="n"/>
      <c r="S59" s="29" t="n"/>
      <c r="T59" s="29" t="n"/>
      <c r="U59" s="29" t="n"/>
      <c r="V59" s="29" t="n"/>
      <c r="W59" s="29" t="n"/>
      <c r="X59" s="1" t="n"/>
    </row>
    <row r="60" ht="22" customHeight="1" s="110">
      <c r="A60" s="54" t="n">
        <v>55</v>
      </c>
      <c r="B60" s="55" t="inlineStr">
        <is>
          <t>FSM (LiveSports) - GT REPUBLICA CHECA</t>
        </is>
      </c>
      <c r="C60" s="28" t="n"/>
      <c r="D60" s="54" t="inlineStr">
        <is>
          <t>GTB64956</t>
        </is>
      </c>
      <c r="E60" s="5" t="inlineStr">
        <is>
          <t>Jessica Barbieri</t>
        </is>
      </c>
      <c r="F60" s="28" t="n"/>
      <c r="G60" s="5" t="inlineStr">
        <is>
          <t>Giovanna Caracho</t>
        </is>
      </c>
      <c r="H60" s="28" t="n"/>
      <c r="I60" s="54" t="inlineStr">
        <is>
          <t>TAX</t>
        </is>
      </c>
      <c r="J60" s="54" t="n">
        <v>2025</v>
      </c>
      <c r="K60" s="28" t="n"/>
      <c r="L60" s="63" t="inlineStr">
        <is>
          <t>Pendência do cliente</t>
        </is>
      </c>
      <c r="M60" s="54" t="inlineStr">
        <is>
          <t>N</t>
        </is>
      </c>
      <c r="N60" s="28" t="n"/>
      <c r="O60" s="28" t="n"/>
      <c r="P60" s="54" t="inlineStr">
        <is>
          <t>N</t>
        </is>
      </c>
      <c r="Q60" s="54" t="inlineStr">
        <is>
          <t>N</t>
        </is>
      </c>
      <c r="R60" s="28" t="n"/>
      <c r="S60" s="28" t="n"/>
      <c r="T60" s="28" t="n"/>
      <c r="U60" s="28" t="n"/>
      <c r="V60" s="28" t="n"/>
      <c r="W60" s="24" t="inlineStr">
        <is>
          <t>Só benchmarking- ECF</t>
        </is>
      </c>
      <c r="X60" s="1" t="n"/>
    </row>
    <row r="61" ht="22" customHeight="1" s="110">
      <c r="A61" s="57" t="n">
        <v>56</v>
      </c>
      <c r="B61" s="58" t="inlineStr">
        <is>
          <t>GBMX</t>
        </is>
      </c>
      <c r="C61" s="29" t="n"/>
      <c r="D61" s="29" t="n"/>
      <c r="E61" s="8" t="inlineStr">
        <is>
          <t>Nathália Marques</t>
        </is>
      </c>
      <c r="F61" s="8" t="inlineStr">
        <is>
          <t>Catarina Muniz</t>
        </is>
      </c>
      <c r="G61" s="29" t="n"/>
      <c r="H61" s="29" t="n"/>
      <c r="I61" s="57" t="inlineStr">
        <is>
          <t>TAX</t>
        </is>
      </c>
      <c r="J61" s="57" t="n">
        <v>2025</v>
      </c>
      <c r="K61" s="29" t="n"/>
      <c r="L61" s="29" t="n"/>
      <c r="M61" s="57" t="inlineStr">
        <is>
          <t>S</t>
        </is>
      </c>
      <c r="N61" s="29" t="n"/>
      <c r="O61" s="29" t="n"/>
      <c r="P61" s="29" t="n"/>
      <c r="Q61" s="29" t="n"/>
      <c r="R61" s="29" t="n"/>
      <c r="S61" s="29" t="n"/>
      <c r="T61" s="29" t="n"/>
      <c r="U61" s="29" t="n"/>
      <c r="V61" s="29" t="n"/>
      <c r="W61" s="29" t="n"/>
      <c r="X61" s="1" t="n"/>
    </row>
    <row r="62" ht="22" customHeight="1" s="110">
      <c r="A62" s="54" t="n">
        <v>57</v>
      </c>
      <c r="B62" s="55" t="inlineStr">
        <is>
          <t xml:space="preserve">Glazed Brasil </t>
        </is>
      </c>
      <c r="C62" s="28" t="n"/>
      <c r="D62" s="28" t="n"/>
      <c r="E62" s="5" t="inlineStr">
        <is>
          <t>Jessica Barbieri</t>
        </is>
      </c>
      <c r="F62" s="28" t="n"/>
      <c r="G62" s="28" t="n"/>
      <c r="H62" s="5" t="inlineStr">
        <is>
          <t>Paulo Cavalcante</t>
        </is>
      </c>
      <c r="I62" s="54" t="inlineStr">
        <is>
          <t>TAX</t>
        </is>
      </c>
      <c r="J62" s="54" t="n">
        <v>2025</v>
      </c>
      <c r="K62" s="54" t="inlineStr">
        <is>
          <t>N</t>
        </is>
      </c>
      <c r="L62" s="63" t="inlineStr">
        <is>
          <t xml:space="preserve">Resportado </t>
        </is>
      </c>
      <c r="M62" s="54" t="inlineStr">
        <is>
          <t>S</t>
        </is>
      </c>
      <c r="N62" s="28" t="n"/>
      <c r="O62" s="28" t="n"/>
      <c r="P62" s="54" t="inlineStr">
        <is>
          <t>N</t>
        </is>
      </c>
      <c r="Q62" s="54" t="inlineStr">
        <is>
          <t>N</t>
        </is>
      </c>
      <c r="R62" s="28" t="n"/>
      <c r="S62" s="28" t="n"/>
      <c r="T62" s="28" t="n"/>
      <c r="U62" s="28" t="n"/>
      <c r="V62" s="28" t="n"/>
      <c r="W62" s="28" t="n"/>
      <c r="X62" s="1" t="n"/>
    </row>
    <row r="63" ht="22" customHeight="1" s="110">
      <c r="A63" s="57" t="n">
        <v>58</v>
      </c>
      <c r="B63" s="58" t="inlineStr">
        <is>
          <t>GP Treinamentos</t>
        </is>
      </c>
      <c r="C63" s="29" t="n"/>
      <c r="D63" s="57" t="inlineStr">
        <is>
          <t>GTB52255</t>
        </is>
      </c>
      <c r="E63" s="8" t="inlineStr">
        <is>
          <t>Jessica Barbieri</t>
        </is>
      </c>
      <c r="F63" s="8" t="inlineStr">
        <is>
          <t>Catarina Muniz</t>
        </is>
      </c>
      <c r="G63" s="29" t="n"/>
      <c r="H63" s="29" t="n"/>
      <c r="I63" s="57" t="inlineStr">
        <is>
          <t>TAX</t>
        </is>
      </c>
      <c r="J63" s="29" t="n"/>
      <c r="K63" s="57" t="inlineStr">
        <is>
          <t>N/A</t>
        </is>
      </c>
      <c r="L63" s="60" t="inlineStr">
        <is>
          <t>Reportado</t>
        </is>
      </c>
      <c r="M63" s="57" t="inlineStr">
        <is>
          <t>N/A</t>
        </is>
      </c>
      <c r="N63" s="57" t="inlineStr">
        <is>
          <t>N/A</t>
        </is>
      </c>
      <c r="O63" s="57" t="inlineStr">
        <is>
          <t>S</t>
        </is>
      </c>
      <c r="P63" s="57" t="inlineStr">
        <is>
          <t>N</t>
        </is>
      </c>
      <c r="Q63" s="57" t="inlineStr">
        <is>
          <t>N</t>
        </is>
      </c>
      <c r="R63" s="8" t="inlineStr">
        <is>
          <t>N/A</t>
        </is>
      </c>
      <c r="S63" s="29" t="n"/>
      <c r="T63" s="29" t="n"/>
      <c r="U63" s="29" t="n"/>
      <c r="V63" s="29" t="n"/>
      <c r="W63" s="29" t="n"/>
      <c r="X63" s="1" t="n"/>
    </row>
    <row r="64" ht="22" customHeight="1" s="110">
      <c r="A64" s="54" t="n">
        <v>59</v>
      </c>
      <c r="B64" s="55" t="inlineStr">
        <is>
          <t>HALDEX DO BRASIL INDUSTRIA E COMERCIO LTDA.</t>
        </is>
      </c>
      <c r="C64" s="28" t="n"/>
      <c r="D64" s="54" t="inlineStr">
        <is>
          <t>GTB52835</t>
        </is>
      </c>
      <c r="E64" s="5" t="inlineStr">
        <is>
          <t>Mauricio Daboín</t>
        </is>
      </c>
      <c r="F64" s="5" t="inlineStr">
        <is>
          <t>Catarina Muniz</t>
        </is>
      </c>
      <c r="G64" s="5" t="inlineStr">
        <is>
          <t>Giovanna Caracho</t>
        </is>
      </c>
      <c r="H64" s="28" t="n"/>
      <c r="I64" s="54" t="inlineStr">
        <is>
          <t>TAX</t>
        </is>
      </c>
      <c r="J64" s="54" t="inlineStr">
        <is>
          <t>2024 - 2025 - 2026</t>
        </is>
      </c>
      <c r="K64" s="54" t="inlineStr">
        <is>
          <t>S</t>
        </is>
      </c>
      <c r="L64" s="56" t="inlineStr">
        <is>
          <t>Reportado</t>
        </is>
      </c>
      <c r="M64" s="54" t="inlineStr">
        <is>
          <t>S</t>
        </is>
      </c>
      <c r="N64" s="54" t="inlineStr">
        <is>
          <t>S</t>
        </is>
      </c>
      <c r="O64" s="54" t="inlineStr">
        <is>
          <t>S</t>
        </is>
      </c>
      <c r="P64" s="54" t="inlineStr">
        <is>
          <t>N</t>
        </is>
      </c>
      <c r="Q64" s="54" t="inlineStr">
        <is>
          <t>N</t>
        </is>
      </c>
      <c r="R64" s="5" t="inlineStr">
        <is>
          <t>N/A</t>
        </is>
      </c>
      <c r="S64" s="5" t="inlineStr">
        <is>
          <t>N/A</t>
        </is>
      </c>
      <c r="T64" s="5" t="inlineStr">
        <is>
          <t>N/A</t>
        </is>
      </c>
      <c r="U64" s="28" t="n"/>
      <c r="V64" s="28" t="n"/>
      <c r="W64" s="28" t="n"/>
      <c r="X64" s="1" t="n"/>
    </row>
    <row r="65" ht="22" customHeight="1" s="110">
      <c r="A65" s="57" t="n">
        <v>60</v>
      </c>
      <c r="B65" s="58" t="inlineStr">
        <is>
          <t>Hayamax  / Hayonik</t>
        </is>
      </c>
      <c r="C65" s="57" t="n">
        <v>2</v>
      </c>
      <c r="D65" s="57" t="inlineStr">
        <is>
          <t>GTB52621</t>
        </is>
      </c>
      <c r="E65" s="8" t="inlineStr">
        <is>
          <t>Clarissa Haidar</t>
        </is>
      </c>
      <c r="F65" s="8" t="inlineStr">
        <is>
          <t>Julia Loureiro</t>
        </is>
      </c>
      <c r="G65" s="8" t="inlineStr">
        <is>
          <t>Letícia Dantas</t>
        </is>
      </c>
      <c r="H65" s="8" t="inlineStr">
        <is>
          <t>-</t>
        </is>
      </c>
      <c r="I65" s="57" t="inlineStr">
        <is>
          <t>TAX</t>
        </is>
      </c>
      <c r="J65" s="57" t="inlineStr">
        <is>
          <t>2024 - 2025 - 2026</t>
        </is>
      </c>
      <c r="K65" s="29" t="n"/>
      <c r="L65" s="59" t="inlineStr">
        <is>
          <t>Andamento</t>
        </is>
      </c>
      <c r="M65" s="57" t="inlineStr">
        <is>
          <t>S</t>
        </is>
      </c>
      <c r="N65" s="29" t="n"/>
      <c r="O65" s="29" t="n"/>
      <c r="P65" s="57" t="inlineStr">
        <is>
          <t>S</t>
        </is>
      </c>
      <c r="Q65" s="57" t="inlineStr">
        <is>
          <t>N</t>
        </is>
      </c>
      <c r="R65" s="29" t="n"/>
      <c r="S65" s="29" t="n"/>
      <c r="T65" s="29" t="n"/>
      <c r="U65" s="29" t="n"/>
      <c r="V65" s="29" t="n"/>
      <c r="W65" s="29" t="n"/>
      <c r="X65" s="1" t="n"/>
    </row>
    <row r="66" ht="22" customHeight="1" s="110">
      <c r="A66" s="54" t="n">
        <v>61</v>
      </c>
      <c r="B66" s="55" t="inlineStr">
        <is>
          <t>HMY</t>
        </is>
      </c>
      <c r="C66" s="28" t="n"/>
      <c r="D66" s="54" t="inlineStr">
        <is>
          <t>GTB61866</t>
        </is>
      </c>
      <c r="E66" s="5" t="inlineStr">
        <is>
          <t>Clarissa Haidar</t>
        </is>
      </c>
      <c r="F66" s="5" t="inlineStr">
        <is>
          <t>-</t>
        </is>
      </c>
      <c r="G66" s="5" t="inlineStr">
        <is>
          <t>Giovanna Caracho</t>
        </is>
      </c>
      <c r="H66" s="5" t="inlineStr">
        <is>
          <t>-</t>
        </is>
      </c>
      <c r="I66" s="54" t="inlineStr">
        <is>
          <t>TAX</t>
        </is>
      </c>
      <c r="J66" s="54" t="n">
        <v>2025</v>
      </c>
      <c r="K66" s="28" t="n"/>
      <c r="L66" s="61" t="inlineStr">
        <is>
          <t>Andamento</t>
        </is>
      </c>
      <c r="M66" s="54" t="inlineStr">
        <is>
          <t>S</t>
        </is>
      </c>
      <c r="N66" s="28" t="n"/>
      <c r="O66" s="28" t="n"/>
      <c r="P66" s="54" t="inlineStr">
        <is>
          <t>N</t>
        </is>
      </c>
      <c r="Q66" s="54" t="inlineStr">
        <is>
          <t>N</t>
        </is>
      </c>
      <c r="R66" s="28" t="n"/>
      <c r="S66" s="28" t="n"/>
      <c r="T66" s="28" t="n"/>
      <c r="U66" s="28" t="n"/>
      <c r="V66" s="28" t="n"/>
      <c r="W66" s="28" t="n"/>
      <c r="X66" s="1" t="n"/>
    </row>
    <row r="67" ht="22" customHeight="1" s="110">
      <c r="A67" s="57" t="n">
        <v>62</v>
      </c>
      <c r="B67" s="58" t="inlineStr">
        <is>
          <t>Imbecor</t>
        </is>
      </c>
      <c r="C67" s="29" t="n"/>
      <c r="D67" s="57" t="inlineStr">
        <is>
          <t>GTB65358</t>
        </is>
      </c>
      <c r="E67" s="8" t="inlineStr">
        <is>
          <t>Clarissa Haidar</t>
        </is>
      </c>
      <c r="F67" s="8" t="inlineStr">
        <is>
          <t>Catarina Muniz</t>
        </is>
      </c>
      <c r="G67" s="8" t="inlineStr">
        <is>
          <t>Carlos Benfica</t>
        </is>
      </c>
      <c r="H67" s="8" t="inlineStr">
        <is>
          <t>-</t>
        </is>
      </c>
      <c r="I67" s="57" t="inlineStr">
        <is>
          <t>TAX</t>
        </is>
      </c>
      <c r="J67" s="57" t="n">
        <v>2025</v>
      </c>
      <c r="K67" s="29" t="n"/>
      <c r="L67" s="59" t="inlineStr">
        <is>
          <t>Andamento</t>
        </is>
      </c>
      <c r="M67" s="57" t="inlineStr">
        <is>
          <t>S</t>
        </is>
      </c>
      <c r="N67" s="29" t="n"/>
      <c r="O67" s="29" t="n"/>
      <c r="P67" s="57" t="inlineStr">
        <is>
          <t>S</t>
        </is>
      </c>
      <c r="Q67" s="57" t="inlineStr">
        <is>
          <t>N</t>
        </is>
      </c>
      <c r="R67" s="29" t="n"/>
      <c r="S67" s="29" t="n"/>
      <c r="T67" s="29" t="n"/>
      <c r="U67" s="29" t="n"/>
      <c r="V67" s="29" t="n"/>
      <c r="W67" s="29" t="n"/>
      <c r="X67" s="1" t="n"/>
    </row>
    <row r="68" ht="22" customHeight="1" s="110">
      <c r="A68" s="54" t="n">
        <v>63</v>
      </c>
      <c r="B68" s="55" t="inlineStr">
        <is>
          <t>IMERYS DO BRASIL COMERCIO DE EXTRACAO DE MINERIOS LTDA</t>
        </is>
      </c>
      <c r="C68" s="28" t="n"/>
      <c r="D68" s="54" t="inlineStr">
        <is>
          <t>GTB56184</t>
        </is>
      </c>
      <c r="E68" s="5" t="inlineStr">
        <is>
          <t>Jessica Barbieri</t>
        </is>
      </c>
      <c r="F68" s="5" t="inlineStr">
        <is>
          <t>Julia Loureiro</t>
        </is>
      </c>
      <c r="G68" s="5" t="inlineStr">
        <is>
          <t>Giovanna Caracho</t>
        </is>
      </c>
      <c r="H68" s="5" t="inlineStr">
        <is>
          <t>Eduardo Campos</t>
        </is>
      </c>
      <c r="I68" s="54" t="inlineStr">
        <is>
          <t>TAX</t>
        </is>
      </c>
      <c r="J68" s="54" t="n">
        <v>2025</v>
      </c>
      <c r="K68" s="54" t="inlineStr">
        <is>
          <t>S</t>
        </is>
      </c>
      <c r="L68" s="56" t="inlineStr">
        <is>
          <t xml:space="preserve">Reportado </t>
        </is>
      </c>
      <c r="M68" s="54" t="inlineStr">
        <is>
          <t>S</t>
        </is>
      </c>
      <c r="N68" s="28" t="n"/>
      <c r="O68" s="28" t="n"/>
      <c r="P68" s="54" t="inlineStr">
        <is>
          <t>S</t>
        </is>
      </c>
      <c r="Q68" s="54" t="inlineStr">
        <is>
          <t>N</t>
        </is>
      </c>
      <c r="R68" s="5" t="inlineStr">
        <is>
          <t>Em revisão gerencial</t>
        </is>
      </c>
      <c r="S68" s="28" t="n"/>
      <c r="T68" s="28" t="n"/>
      <c r="U68" s="28" t="n"/>
      <c r="V68" s="28" t="n"/>
      <c r="W68" s="28" t="n"/>
      <c r="X68" s="1" t="n"/>
    </row>
    <row r="69" ht="22" customHeight="1" s="110">
      <c r="A69" s="57" t="n">
        <v>64</v>
      </c>
      <c r="B69" s="58" t="inlineStr">
        <is>
          <t>IMERYS FUSED MINERALS SALTO LTDA.</t>
        </is>
      </c>
      <c r="C69" s="29" t="n"/>
      <c r="D69" s="57" t="inlineStr">
        <is>
          <t>GTB56184</t>
        </is>
      </c>
      <c r="E69" s="8" t="inlineStr">
        <is>
          <t>Jessica Barbieri</t>
        </is>
      </c>
      <c r="F69" s="8" t="inlineStr">
        <is>
          <t>Julia Loureiro</t>
        </is>
      </c>
      <c r="G69" s="8" t="inlineStr">
        <is>
          <t>Giovanna Caracho</t>
        </is>
      </c>
      <c r="H69" s="8" t="inlineStr">
        <is>
          <t>Eduardo Campos</t>
        </is>
      </c>
      <c r="I69" s="57" t="inlineStr">
        <is>
          <t>TAX</t>
        </is>
      </c>
      <c r="J69" s="57" t="n">
        <v>2025</v>
      </c>
      <c r="K69" s="57" t="inlineStr">
        <is>
          <t>S</t>
        </is>
      </c>
      <c r="L69" s="60" t="inlineStr">
        <is>
          <t xml:space="preserve">Reportado </t>
        </is>
      </c>
      <c r="M69" s="57" t="inlineStr">
        <is>
          <t>S</t>
        </is>
      </c>
      <c r="N69" s="29" t="n"/>
      <c r="O69" s="29" t="n"/>
      <c r="P69" s="57" t="inlineStr">
        <is>
          <t>S</t>
        </is>
      </c>
      <c r="Q69" s="57" t="inlineStr">
        <is>
          <t>N</t>
        </is>
      </c>
      <c r="R69" s="8" t="inlineStr">
        <is>
          <t>Em revisão gerencial</t>
        </is>
      </c>
      <c r="S69" s="29" t="n"/>
      <c r="T69" s="29" t="n"/>
      <c r="U69" s="29" t="n"/>
      <c r="V69" s="29" t="n"/>
      <c r="W69" s="29" t="n"/>
      <c r="X69" s="1" t="n"/>
    </row>
    <row r="70" ht="22" customHeight="1" s="110">
      <c r="A70" s="54" t="n">
        <v>65</v>
      </c>
      <c r="B70" s="55" t="inlineStr">
        <is>
          <t>James Walker (GT UK)</t>
        </is>
      </c>
      <c r="C70" s="28" t="n"/>
      <c r="D70" s="54" t="inlineStr">
        <is>
          <t>GTB61495</t>
        </is>
      </c>
      <c r="E70" s="5" t="inlineStr">
        <is>
          <t>Nathália Marques</t>
        </is>
      </c>
      <c r="F70" s="28" t="n"/>
      <c r="G70" s="28" t="n"/>
      <c r="H70" s="5" t="inlineStr">
        <is>
          <t>Bruna Vidal</t>
        </is>
      </c>
      <c r="I70" s="54" t="inlineStr">
        <is>
          <t>TAX</t>
        </is>
      </c>
      <c r="J70" s="54" t="n">
        <v>2025</v>
      </c>
      <c r="K70" s="54" t="inlineStr">
        <is>
          <t>N</t>
        </is>
      </c>
      <c r="L70" s="61" t="inlineStr">
        <is>
          <t>Andamento</t>
        </is>
      </c>
      <c r="M70" s="54" t="inlineStr">
        <is>
          <t>N/A</t>
        </is>
      </c>
      <c r="N70" s="28" t="n"/>
      <c r="O70" s="28" t="n"/>
      <c r="P70" s="54" t="inlineStr">
        <is>
          <t>N</t>
        </is>
      </c>
      <c r="Q70" s="54" t="inlineStr">
        <is>
          <t>N</t>
        </is>
      </c>
      <c r="R70" s="28" t="n"/>
      <c r="S70" s="28" t="n"/>
      <c r="T70" s="28" t="n"/>
      <c r="U70" s="28" t="n"/>
      <c r="V70" s="28" t="n"/>
      <c r="W70" s="24" t="inlineStr">
        <is>
          <t>Só benchmarking</t>
        </is>
      </c>
      <c r="X70" s="1" t="n"/>
    </row>
    <row r="71" ht="22" customHeight="1" s="110">
      <c r="A71" s="57" t="n">
        <v>66</v>
      </c>
      <c r="B71" s="58" t="inlineStr">
        <is>
          <t>JBS SA</t>
        </is>
      </c>
      <c r="C71" s="29" t="n"/>
      <c r="D71" s="57" t="inlineStr">
        <is>
          <t>GTB54691</t>
        </is>
      </c>
      <c r="E71" s="8" t="inlineStr">
        <is>
          <t>Clarissa Haidar</t>
        </is>
      </c>
      <c r="F71" s="8" t="inlineStr">
        <is>
          <t>Catarina Muniz</t>
        </is>
      </c>
      <c r="G71" s="8" t="inlineStr">
        <is>
          <t>Carlos Benfica</t>
        </is>
      </c>
      <c r="H71" s="8" t="inlineStr">
        <is>
          <t>-</t>
        </is>
      </c>
      <c r="I71" s="57" t="inlineStr">
        <is>
          <t>TAX</t>
        </is>
      </c>
      <c r="J71" s="57" t="n">
        <v>2025</v>
      </c>
      <c r="K71" s="29" t="n"/>
      <c r="L71" s="59" t="inlineStr">
        <is>
          <t>Andamento</t>
        </is>
      </c>
      <c r="M71" s="57" t="inlineStr">
        <is>
          <t>S</t>
        </is>
      </c>
      <c r="N71" s="29" t="n"/>
      <c r="O71" s="29" t="n"/>
      <c r="P71" s="57" t="inlineStr">
        <is>
          <t>S</t>
        </is>
      </c>
      <c r="Q71" s="57" t="inlineStr">
        <is>
          <t>N</t>
        </is>
      </c>
      <c r="R71" s="29" t="n"/>
      <c r="S71" s="29" t="n"/>
      <c r="T71" s="29" t="n"/>
      <c r="U71" s="29" t="n"/>
      <c r="V71" s="29" t="n"/>
      <c r="W71" s="29" t="n"/>
      <c r="X71" s="1" t="n"/>
    </row>
    <row r="72" ht="22" customHeight="1" s="110">
      <c r="A72" s="54" t="n">
        <v>67</v>
      </c>
      <c r="B72" s="55" t="inlineStr">
        <is>
          <t>Katun</t>
        </is>
      </c>
      <c r="C72" s="28" t="n"/>
      <c r="D72" s="54" t="inlineStr">
        <is>
          <t>GTB62410</t>
        </is>
      </c>
      <c r="E72" s="5" t="inlineStr">
        <is>
          <t>Clarissa Haidar</t>
        </is>
      </c>
      <c r="F72" s="5" t="inlineStr">
        <is>
          <t>Julia Loureiro</t>
        </is>
      </c>
      <c r="G72" s="5" t="inlineStr">
        <is>
          <t>Letícia Dantas</t>
        </is>
      </c>
      <c r="H72" s="5" t="inlineStr">
        <is>
          <t>-</t>
        </is>
      </c>
      <c r="I72" s="54" t="inlineStr">
        <is>
          <t>TAX</t>
        </is>
      </c>
      <c r="J72" s="54" t="n">
        <v>2025</v>
      </c>
      <c r="K72" s="28" t="n"/>
      <c r="L72" s="61" t="inlineStr">
        <is>
          <t>Andamento</t>
        </is>
      </c>
      <c r="M72" s="54" t="inlineStr">
        <is>
          <t>S</t>
        </is>
      </c>
      <c r="N72" s="28" t="n"/>
      <c r="O72" s="28" t="n"/>
      <c r="P72" s="54" t="inlineStr">
        <is>
          <t>S</t>
        </is>
      </c>
      <c r="Q72" s="54" t="inlineStr">
        <is>
          <t>N</t>
        </is>
      </c>
      <c r="R72" s="28" t="n"/>
      <c r="S72" s="28" t="n"/>
      <c r="T72" s="28" t="n"/>
      <c r="U72" s="28" t="n"/>
      <c r="V72" s="28" t="n"/>
      <c r="W72" s="28" t="n"/>
      <c r="X72" s="1" t="n"/>
    </row>
    <row r="73" ht="22" customHeight="1" s="110">
      <c r="A73" s="57" t="n">
        <v>68</v>
      </c>
      <c r="B73" s="58" t="inlineStr">
        <is>
          <t>K-I Chemical-TP 2025</t>
        </is>
      </c>
      <c r="C73" s="29" t="n"/>
      <c r="D73" s="57" t="inlineStr">
        <is>
          <t>GTB61905</t>
        </is>
      </c>
      <c r="E73" s="8" t="inlineStr">
        <is>
          <t>Juan Herrera</t>
        </is>
      </c>
      <c r="F73" s="29" t="n"/>
      <c r="G73" s="29" t="n"/>
      <c r="H73" s="8" t="inlineStr">
        <is>
          <t>Kaik Oliveira</t>
        </is>
      </c>
      <c r="I73" s="57" t="inlineStr">
        <is>
          <t>TAX</t>
        </is>
      </c>
      <c r="J73" s="57" t="n">
        <v>2025</v>
      </c>
      <c r="K73" s="57" t="inlineStr">
        <is>
          <t>S</t>
        </is>
      </c>
      <c r="L73" s="60" t="inlineStr">
        <is>
          <t>Reportado</t>
        </is>
      </c>
      <c r="M73" s="57" t="inlineStr">
        <is>
          <t>S</t>
        </is>
      </c>
      <c r="N73" s="57" t="inlineStr">
        <is>
          <t>N/A</t>
        </is>
      </c>
      <c r="O73" s="57" t="inlineStr">
        <is>
          <t>S</t>
        </is>
      </c>
      <c r="P73" s="57" t="inlineStr">
        <is>
          <t>N</t>
        </is>
      </c>
      <c r="Q73" s="57" t="inlineStr">
        <is>
          <t>N</t>
        </is>
      </c>
      <c r="R73" s="29" t="n"/>
      <c r="S73" s="29" t="n"/>
      <c r="T73" s="29" t="n"/>
      <c r="U73" s="29" t="n"/>
      <c r="V73" s="29" t="n"/>
      <c r="W73" s="29" t="n"/>
      <c r="X73" s="1" t="n"/>
    </row>
    <row r="74" ht="22" customHeight="1" s="110">
      <c r="A74" s="54" t="n">
        <v>69</v>
      </c>
      <c r="B74" s="55" t="inlineStr">
        <is>
          <t>Kiko Milano</t>
        </is>
      </c>
      <c r="C74" s="28" t="n"/>
      <c r="D74" s="54" t="inlineStr">
        <is>
          <t>GTB61763</t>
        </is>
      </c>
      <c r="E74" s="5" t="inlineStr">
        <is>
          <t>Giovanna Failache</t>
        </is>
      </c>
      <c r="F74" s="5" t="inlineStr">
        <is>
          <t>Julia Loureiro</t>
        </is>
      </c>
      <c r="G74" s="28" t="n"/>
      <c r="H74" s="28" t="n"/>
      <c r="I74" s="54" t="inlineStr">
        <is>
          <t>TAX</t>
        </is>
      </c>
      <c r="J74" s="54" t="n">
        <v>2025</v>
      </c>
      <c r="K74" s="54" t="inlineStr">
        <is>
          <t>N</t>
        </is>
      </c>
      <c r="L74" s="56" t="inlineStr">
        <is>
          <t>Reportado</t>
        </is>
      </c>
      <c r="M74" s="54" t="inlineStr">
        <is>
          <t>N/A</t>
        </is>
      </c>
      <c r="N74" s="54" t="inlineStr">
        <is>
          <t>S</t>
        </is>
      </c>
      <c r="O74" s="54" t="inlineStr">
        <is>
          <t>S</t>
        </is>
      </c>
      <c r="P74" s="54" t="inlineStr">
        <is>
          <t>N</t>
        </is>
      </c>
      <c r="Q74" s="54" t="inlineStr">
        <is>
          <t>N</t>
        </is>
      </c>
      <c r="R74" s="5" t="inlineStr">
        <is>
          <t>N/A</t>
        </is>
      </c>
      <c r="S74" s="5" t="inlineStr">
        <is>
          <t>N/A</t>
        </is>
      </c>
      <c r="T74" s="5" t="inlineStr">
        <is>
          <t>N/A</t>
        </is>
      </c>
      <c r="U74" s="54" t="inlineStr">
        <is>
          <t>N</t>
        </is>
      </c>
      <c r="V74" s="54" t="inlineStr">
        <is>
          <t>S</t>
        </is>
      </c>
      <c r="W74" s="28" t="n"/>
      <c r="X74" s="1" t="n"/>
    </row>
    <row r="75" ht="22" customHeight="1" s="110">
      <c r="A75" s="57" t="n">
        <v>70</v>
      </c>
      <c r="B75" s="58" t="inlineStr">
        <is>
          <t xml:space="preserve">Killing Tintas </t>
        </is>
      </c>
      <c r="C75" s="29" t="n"/>
      <c r="D75" s="57" t="inlineStr">
        <is>
          <t>GTB65602</t>
        </is>
      </c>
      <c r="E75" s="8" t="inlineStr">
        <is>
          <t>Jessica Barbieri</t>
        </is>
      </c>
      <c r="F75" s="8" t="inlineStr">
        <is>
          <t>Catarina Muniz</t>
        </is>
      </c>
      <c r="G75" s="29" t="n"/>
      <c r="H75" s="8" t="inlineStr">
        <is>
          <t>Paulo Cavalcante</t>
        </is>
      </c>
      <c r="I75" s="57" t="inlineStr">
        <is>
          <t>TAX</t>
        </is>
      </c>
      <c r="J75" s="57" t="n">
        <v>2025</v>
      </c>
      <c r="K75" s="29" t="n"/>
      <c r="L75" s="59" t="inlineStr">
        <is>
          <t>Andamento</t>
        </is>
      </c>
      <c r="M75" s="57" t="inlineStr">
        <is>
          <t>S</t>
        </is>
      </c>
      <c r="N75" s="29" t="n"/>
      <c r="O75" s="29" t="n"/>
      <c r="P75" s="57" t="inlineStr">
        <is>
          <t>N</t>
        </is>
      </c>
      <c r="Q75" s="57" t="inlineStr">
        <is>
          <t xml:space="preserve">N </t>
        </is>
      </c>
      <c r="R75" s="29" t="n"/>
      <c r="S75" s="29" t="n"/>
      <c r="T75" s="29" t="n"/>
      <c r="U75" s="29" t="n"/>
      <c r="V75" s="29" t="n"/>
      <c r="W75" s="29" t="n"/>
      <c r="X75" s="1" t="n"/>
    </row>
    <row r="76" ht="22" customHeight="1" s="110">
      <c r="A76" s="54" t="n">
        <v>71</v>
      </c>
      <c r="B76" s="55" t="inlineStr">
        <is>
          <t>KN Açu</t>
        </is>
      </c>
      <c r="C76" s="28" t="n"/>
      <c r="D76" s="54" t="inlineStr">
        <is>
          <t>GTB61659</t>
        </is>
      </c>
      <c r="E76" s="5" t="inlineStr">
        <is>
          <t>Jessica Barbieri</t>
        </is>
      </c>
      <c r="F76" s="28" t="n"/>
      <c r="G76" s="5" t="inlineStr">
        <is>
          <t>Letícia Dantas</t>
        </is>
      </c>
      <c r="H76" s="28" t="n"/>
      <c r="I76" s="54" t="inlineStr">
        <is>
          <t>TAX</t>
        </is>
      </c>
      <c r="J76" s="54" t="n">
        <v>2025</v>
      </c>
      <c r="K76" s="28" t="n"/>
      <c r="L76" s="56" t="inlineStr">
        <is>
          <t xml:space="preserve">Reportado </t>
        </is>
      </c>
      <c r="M76" s="54" t="inlineStr">
        <is>
          <t>S</t>
        </is>
      </c>
      <c r="N76" s="28" t="n"/>
      <c r="O76" s="28" t="n"/>
      <c r="P76" s="54" t="inlineStr">
        <is>
          <t>N</t>
        </is>
      </c>
      <c r="Q76" s="54" t="inlineStr">
        <is>
          <t>N</t>
        </is>
      </c>
      <c r="R76" s="5" t="inlineStr">
        <is>
          <t xml:space="preserve">Memorando enviado ao cliente </t>
        </is>
      </c>
      <c r="S76" s="28" t="n"/>
      <c r="T76" s="5" t="inlineStr">
        <is>
          <t>N/A</t>
        </is>
      </c>
      <c r="U76" s="28" t="n"/>
      <c r="V76" s="28" t="n"/>
      <c r="W76" s="28" t="n"/>
      <c r="X76" s="1" t="n"/>
    </row>
    <row r="77" ht="22" customHeight="1" s="110">
      <c r="A77" s="57" t="n">
        <v>72</v>
      </c>
      <c r="B77" s="58" t="inlineStr">
        <is>
          <t>Knowbe4</t>
        </is>
      </c>
      <c r="C77" s="29" t="n"/>
      <c r="D77" s="57" t="inlineStr">
        <is>
          <t>GTB52445</t>
        </is>
      </c>
      <c r="E77" s="8" t="inlineStr">
        <is>
          <t>Jessica Barbieri</t>
        </is>
      </c>
      <c r="F77" s="29" t="n"/>
      <c r="G77" s="29" t="n"/>
      <c r="H77" s="29" t="n"/>
      <c r="I77" s="57" t="inlineStr">
        <is>
          <t>TAX</t>
        </is>
      </c>
      <c r="J77" s="29" t="n"/>
      <c r="K77" s="57" t="inlineStr">
        <is>
          <t>N/A</t>
        </is>
      </c>
      <c r="L77" s="60" t="inlineStr">
        <is>
          <t>Reportado</t>
        </is>
      </c>
      <c r="M77" s="57" t="inlineStr">
        <is>
          <t>N/A</t>
        </is>
      </c>
      <c r="N77" s="57" t="inlineStr">
        <is>
          <t>N/A</t>
        </is>
      </c>
      <c r="O77" s="57" t="inlineStr">
        <is>
          <t>N/A</t>
        </is>
      </c>
      <c r="P77" s="57" t="inlineStr">
        <is>
          <t>N</t>
        </is>
      </c>
      <c r="Q77" s="57" t="inlineStr">
        <is>
          <t>N</t>
        </is>
      </c>
      <c r="R77" s="8" t="inlineStr">
        <is>
          <t>N/A</t>
        </is>
      </c>
      <c r="S77" s="29" t="n"/>
      <c r="T77" s="29" t="n"/>
      <c r="U77" s="29" t="n"/>
      <c r="V77" s="29" t="n"/>
      <c r="W77" s="29" t="n"/>
      <c r="X77" s="1" t="n"/>
    </row>
    <row r="78" ht="22" customHeight="1" s="110">
      <c r="A78" s="54" t="n">
        <v>73</v>
      </c>
      <c r="B78" s="55" t="inlineStr">
        <is>
          <t>Kyocera</t>
        </is>
      </c>
      <c r="C78" s="28" t="n"/>
      <c r="D78" s="54" t="inlineStr">
        <is>
          <t>GTB58717</t>
        </is>
      </c>
      <c r="E78" s="5" t="inlineStr">
        <is>
          <t>Mauricio Daboín</t>
        </is>
      </c>
      <c r="F78" s="28" t="n"/>
      <c r="G78" s="28" t="n"/>
      <c r="H78" s="28" t="n"/>
      <c r="I78" s="54" t="inlineStr">
        <is>
          <t>TAX</t>
        </is>
      </c>
      <c r="J78" s="54" t="n">
        <v>2025</v>
      </c>
      <c r="K78" s="54" t="inlineStr">
        <is>
          <t>S</t>
        </is>
      </c>
      <c r="L78" s="56" t="inlineStr">
        <is>
          <t>Reportado</t>
        </is>
      </c>
      <c r="M78" s="54" t="inlineStr">
        <is>
          <t>N</t>
        </is>
      </c>
      <c r="N78" s="54" t="inlineStr">
        <is>
          <t>S</t>
        </is>
      </c>
      <c r="O78" s="54" t="inlineStr">
        <is>
          <t>N</t>
        </is>
      </c>
      <c r="P78" s="54" t="inlineStr">
        <is>
          <t>S</t>
        </is>
      </c>
      <c r="Q78" s="54" t="inlineStr">
        <is>
          <t>N</t>
        </is>
      </c>
      <c r="R78" s="28" t="n"/>
      <c r="S78" s="5" t="inlineStr">
        <is>
          <t>N/A</t>
        </is>
      </c>
      <c r="T78" s="5" t="inlineStr">
        <is>
          <t>N/A</t>
        </is>
      </c>
      <c r="U78" s="28" t="n"/>
      <c r="V78" s="28" t="n"/>
      <c r="W78" s="28" t="n"/>
      <c r="X78" s="1" t="n"/>
    </row>
    <row r="79" ht="22" customHeight="1" s="110">
      <c r="A79" s="57" t="n">
        <v>74</v>
      </c>
      <c r="B79" s="58" t="inlineStr">
        <is>
          <t>Lavorwash Brasil Industrial e Comercial LTDA.</t>
        </is>
      </c>
      <c r="C79" s="29" t="n"/>
      <c r="D79" s="57" t="inlineStr">
        <is>
          <t>GTB60010</t>
        </is>
      </c>
      <c r="E79" s="8" t="inlineStr">
        <is>
          <t>Jessica Barbieri</t>
        </is>
      </c>
      <c r="F79" s="29" t="n"/>
      <c r="G79" s="8" t="inlineStr">
        <is>
          <t>Giovanna Caracho</t>
        </is>
      </c>
      <c r="H79" s="29" t="n"/>
      <c r="I79" s="57" t="inlineStr">
        <is>
          <t>TAX</t>
        </is>
      </c>
      <c r="J79" s="57" t="n">
        <v>2025</v>
      </c>
      <c r="K79" s="29" t="n"/>
      <c r="L79" s="60" t="inlineStr">
        <is>
          <t xml:space="preserve">Reportado </t>
        </is>
      </c>
      <c r="M79" s="57" t="inlineStr">
        <is>
          <t>S</t>
        </is>
      </c>
      <c r="N79" s="29" t="n"/>
      <c r="O79" s="29" t="n"/>
      <c r="P79" s="57" t="inlineStr">
        <is>
          <t>N</t>
        </is>
      </c>
      <c r="Q79" s="57" t="inlineStr">
        <is>
          <t>N</t>
        </is>
      </c>
      <c r="R79" s="29" t="n"/>
      <c r="S79" s="29" t="n"/>
      <c r="T79" s="29" t="n"/>
      <c r="U79" s="29" t="n"/>
      <c r="V79" s="29" t="n"/>
      <c r="W79" s="29" t="n"/>
      <c r="X79" s="1" t="n"/>
    </row>
    <row r="80" ht="22" customHeight="1" s="110">
      <c r="A80" s="54" t="n">
        <v>75</v>
      </c>
      <c r="B80" s="55" t="inlineStr">
        <is>
          <t>Leonardo do Brasil</t>
        </is>
      </c>
      <c r="C80" s="28" t="n"/>
      <c r="D80" s="54" t="inlineStr">
        <is>
          <t>GTB61793</t>
        </is>
      </c>
      <c r="E80" s="5" t="inlineStr">
        <is>
          <t>Nathália Marques</t>
        </is>
      </c>
      <c r="F80" s="28" t="n"/>
      <c r="G80" s="5" t="inlineStr">
        <is>
          <t>Analis Rossi</t>
        </is>
      </c>
      <c r="H80" s="5" t="inlineStr">
        <is>
          <t>Eduardo Campos</t>
        </is>
      </c>
      <c r="I80" s="54" t="inlineStr">
        <is>
          <t>TAX</t>
        </is>
      </c>
      <c r="J80" s="54" t="n">
        <v>2025</v>
      </c>
      <c r="K80" s="54" t="inlineStr">
        <is>
          <t>N/A</t>
        </is>
      </c>
      <c r="L80" s="56" t="inlineStr">
        <is>
          <t>Reportado</t>
        </is>
      </c>
      <c r="M80" s="54" t="inlineStr">
        <is>
          <t>S</t>
        </is>
      </c>
      <c r="N80" s="54" t="inlineStr">
        <is>
          <t>N</t>
        </is>
      </c>
      <c r="O80" s="54" t="inlineStr">
        <is>
          <t>N</t>
        </is>
      </c>
      <c r="P80" s="54" t="inlineStr">
        <is>
          <t>N</t>
        </is>
      </c>
      <c r="Q80" s="54" t="inlineStr">
        <is>
          <t>N</t>
        </is>
      </c>
      <c r="R80" s="28" t="n"/>
      <c r="S80" s="5" t="inlineStr">
        <is>
          <t>N/A</t>
        </is>
      </c>
      <c r="T80" s="5" t="inlineStr">
        <is>
          <t>N/A</t>
        </is>
      </c>
      <c r="U80" s="28" t="n"/>
      <c r="V80" s="28" t="n"/>
      <c r="W80" s="28" t="n"/>
      <c r="X80" s="1" t="n"/>
    </row>
    <row r="81" ht="22" customHeight="1" s="110">
      <c r="A81" s="57" t="n">
        <v>76</v>
      </c>
      <c r="B81" s="58" t="inlineStr">
        <is>
          <t>Leonardo do Brasil</t>
        </is>
      </c>
      <c r="C81" s="29" t="n"/>
      <c r="D81" s="57" t="inlineStr">
        <is>
          <t>GTB62483</t>
        </is>
      </c>
      <c r="E81" s="8" t="inlineStr">
        <is>
          <t>Mauricio Daboín</t>
        </is>
      </c>
      <c r="F81" s="8" t="inlineStr">
        <is>
          <t>Ivy Moscavitch</t>
        </is>
      </c>
      <c r="G81" s="8" t="inlineStr">
        <is>
          <t>Analis Rossi</t>
        </is>
      </c>
      <c r="H81" s="8" t="inlineStr">
        <is>
          <t>Eduardo Campos</t>
        </is>
      </c>
      <c r="I81" s="57" t="inlineStr">
        <is>
          <t>TAX</t>
        </is>
      </c>
      <c r="J81" s="57" t="inlineStr">
        <is>
          <t>N/A</t>
        </is>
      </c>
      <c r="K81" s="57" t="inlineStr">
        <is>
          <t>N/A</t>
        </is>
      </c>
      <c r="L81" s="64" t="inlineStr">
        <is>
          <t>N/A</t>
        </is>
      </c>
      <c r="M81" s="57" t="inlineStr">
        <is>
          <t>N/A</t>
        </is>
      </c>
      <c r="N81" s="57" t="inlineStr">
        <is>
          <t>N/A</t>
        </is>
      </c>
      <c r="O81" s="57" t="inlineStr">
        <is>
          <t>N/A</t>
        </is>
      </c>
      <c r="P81" s="57" t="inlineStr">
        <is>
          <t>N/A</t>
        </is>
      </c>
      <c r="Q81" s="57" t="inlineStr">
        <is>
          <t>N/A</t>
        </is>
      </c>
      <c r="R81" s="8" t="inlineStr">
        <is>
          <t>N/A</t>
        </is>
      </c>
      <c r="S81" s="8" t="inlineStr">
        <is>
          <t>N/A</t>
        </is>
      </c>
      <c r="T81" s="8" t="inlineStr">
        <is>
          <t>N/A</t>
        </is>
      </c>
      <c r="U81" s="57" t="inlineStr">
        <is>
          <t>N/A</t>
        </is>
      </c>
      <c r="V81" s="57" t="inlineStr">
        <is>
          <t>N/A</t>
        </is>
      </c>
      <c r="W81" s="20" t="inlineStr">
        <is>
          <t>Memorando sobre ajuste compensatório</t>
        </is>
      </c>
      <c r="X81" s="1" t="n"/>
    </row>
    <row r="82" ht="22" customHeight="1" s="110">
      <c r="A82" s="54" t="n">
        <v>77</v>
      </c>
      <c r="B82" s="55" t="inlineStr">
        <is>
          <t>Lufthansa Consulting</t>
        </is>
      </c>
      <c r="C82" s="28" t="n"/>
      <c r="D82" s="54" t="inlineStr">
        <is>
          <t>GTB63825</t>
        </is>
      </c>
      <c r="E82" s="5" t="inlineStr">
        <is>
          <t>Mauricio Daboín</t>
        </is>
      </c>
      <c r="F82" s="28" t="n"/>
      <c r="G82" s="5" t="inlineStr">
        <is>
          <t>Bruna Vidal</t>
        </is>
      </c>
      <c r="H82" s="5" t="inlineStr">
        <is>
          <t>Kaik Oliveira</t>
        </is>
      </c>
      <c r="I82" s="54" t="inlineStr">
        <is>
          <t>TAX</t>
        </is>
      </c>
      <c r="J82" s="54" t="n">
        <v>2025</v>
      </c>
      <c r="K82" s="54" t="inlineStr">
        <is>
          <t>N</t>
        </is>
      </c>
      <c r="L82" s="63" t="inlineStr">
        <is>
          <t>Inicial</t>
        </is>
      </c>
      <c r="M82" s="54" t="inlineStr">
        <is>
          <t>S</t>
        </is>
      </c>
      <c r="N82" s="54" t="inlineStr">
        <is>
          <t>N</t>
        </is>
      </c>
      <c r="O82" s="54" t="inlineStr">
        <is>
          <t>N/A</t>
        </is>
      </c>
      <c r="P82" s="54" t="inlineStr">
        <is>
          <t>N</t>
        </is>
      </c>
      <c r="Q82" s="54" t="inlineStr">
        <is>
          <t>N</t>
        </is>
      </c>
      <c r="R82" s="28" t="n"/>
      <c r="S82" s="28" t="n"/>
      <c r="T82" s="28" t="n"/>
      <c r="U82" s="28" t="n"/>
      <c r="V82" s="28" t="n"/>
      <c r="W82" s="28" t="n"/>
      <c r="X82" s="1" t="n"/>
    </row>
    <row r="83" ht="22" customHeight="1" s="110">
      <c r="A83" s="57" t="n">
        <v>78</v>
      </c>
      <c r="B83" s="58" t="inlineStr">
        <is>
          <t>Lufthansa Group</t>
        </is>
      </c>
      <c r="C83" s="29" t="n"/>
      <c r="D83" s="57" t="inlineStr">
        <is>
          <t>GTB62236</t>
        </is>
      </c>
      <c r="E83" s="8" t="inlineStr">
        <is>
          <t>Mauricio Daboín</t>
        </is>
      </c>
      <c r="F83" s="29" t="n"/>
      <c r="G83" s="8" t="inlineStr">
        <is>
          <t>Bruna Vidal</t>
        </is>
      </c>
      <c r="H83" s="8" t="inlineStr">
        <is>
          <t>Kaik Oliveira</t>
        </is>
      </c>
      <c r="I83" s="57" t="inlineStr">
        <is>
          <t>TAX</t>
        </is>
      </c>
      <c r="J83" s="57" t="n">
        <v>2025</v>
      </c>
      <c r="K83" s="57" t="inlineStr">
        <is>
          <t>N</t>
        </is>
      </c>
      <c r="L83" s="62" t="inlineStr">
        <is>
          <t>Inicial</t>
        </is>
      </c>
      <c r="M83" s="57" t="inlineStr">
        <is>
          <t>S</t>
        </is>
      </c>
      <c r="N83" s="57" t="inlineStr">
        <is>
          <t>N</t>
        </is>
      </c>
      <c r="O83" s="57" t="inlineStr">
        <is>
          <t>N/A</t>
        </is>
      </c>
      <c r="P83" s="57" t="inlineStr">
        <is>
          <t>N</t>
        </is>
      </c>
      <c r="Q83" s="57" t="inlineStr">
        <is>
          <t>N</t>
        </is>
      </c>
      <c r="R83" s="29" t="n"/>
      <c r="S83" s="29" t="n"/>
      <c r="T83" s="29" t="n"/>
      <c r="U83" s="29" t="n"/>
      <c r="V83" s="29" t="n"/>
      <c r="W83" s="29" t="n"/>
      <c r="X83" s="1" t="n"/>
    </row>
    <row r="84" ht="22" customHeight="1" s="110">
      <c r="A84" s="54" t="n">
        <v>79</v>
      </c>
      <c r="B84" s="55" t="inlineStr">
        <is>
          <t>Lufthansa Systems</t>
        </is>
      </c>
      <c r="C84" s="28" t="n"/>
      <c r="D84" s="54" t="inlineStr">
        <is>
          <t>GTB62974</t>
        </is>
      </c>
      <c r="E84" s="5" t="inlineStr">
        <is>
          <t>Mauricio Daboín</t>
        </is>
      </c>
      <c r="F84" s="28" t="n"/>
      <c r="G84" s="5" t="inlineStr">
        <is>
          <t>Bruna Vidal</t>
        </is>
      </c>
      <c r="H84" s="5" t="inlineStr">
        <is>
          <t>Kaik Oliveira</t>
        </is>
      </c>
      <c r="I84" s="54" t="inlineStr">
        <is>
          <t>TAX</t>
        </is>
      </c>
      <c r="J84" s="54" t="n">
        <v>2025</v>
      </c>
      <c r="K84" s="54" t="inlineStr">
        <is>
          <t>N</t>
        </is>
      </c>
      <c r="L84" s="63" t="inlineStr">
        <is>
          <t>Inicial</t>
        </is>
      </c>
      <c r="M84" s="54" t="inlineStr">
        <is>
          <t>S</t>
        </is>
      </c>
      <c r="N84" s="54" t="inlineStr">
        <is>
          <t>N</t>
        </is>
      </c>
      <c r="O84" s="54" t="inlineStr">
        <is>
          <t>N/A</t>
        </is>
      </c>
      <c r="P84" s="54" t="inlineStr">
        <is>
          <t>N</t>
        </is>
      </c>
      <c r="Q84" s="54" t="inlineStr">
        <is>
          <t>N</t>
        </is>
      </c>
      <c r="R84" s="28" t="n"/>
      <c r="S84" s="28" t="n"/>
      <c r="T84" s="28" t="n"/>
      <c r="U84" s="28" t="n"/>
      <c r="V84" s="28" t="n"/>
      <c r="W84" s="28" t="n"/>
      <c r="X84" s="1" t="n"/>
    </row>
    <row r="85" ht="22" customHeight="1" s="110">
      <c r="A85" s="57" t="n">
        <v>80</v>
      </c>
      <c r="B85" s="58" t="inlineStr">
        <is>
          <t xml:space="preserve">LVHM </t>
        </is>
      </c>
      <c r="C85" s="29" t="n"/>
      <c r="D85" s="57" t="inlineStr">
        <is>
          <t>GTB64961</t>
        </is>
      </c>
      <c r="E85" s="8" t="inlineStr">
        <is>
          <t>Jessica Barbieri</t>
        </is>
      </c>
      <c r="F85" s="8" t="inlineStr">
        <is>
          <t>Catarina Muniz</t>
        </is>
      </c>
      <c r="G85" s="29" t="n"/>
      <c r="H85" s="8" t="inlineStr">
        <is>
          <t>Kaik Oliveira</t>
        </is>
      </c>
      <c r="I85" s="57" t="inlineStr">
        <is>
          <t>TAX</t>
        </is>
      </c>
      <c r="J85" s="57" t="n">
        <v>2025</v>
      </c>
      <c r="K85" s="29" t="n"/>
      <c r="L85" s="60" t="inlineStr">
        <is>
          <t xml:space="preserve">Reportado </t>
        </is>
      </c>
      <c r="M85" s="57" t="inlineStr">
        <is>
          <t>N/A</t>
        </is>
      </c>
      <c r="N85" s="57" t="inlineStr">
        <is>
          <t>N/A</t>
        </is>
      </c>
      <c r="O85" s="57" t="inlineStr">
        <is>
          <t>N/A</t>
        </is>
      </c>
      <c r="P85" s="57" t="inlineStr">
        <is>
          <t>N</t>
        </is>
      </c>
      <c r="Q85" s="57" t="inlineStr">
        <is>
          <t>N</t>
        </is>
      </c>
      <c r="R85" s="29" t="n"/>
      <c r="S85" s="29" t="n"/>
      <c r="T85" s="29" t="n"/>
      <c r="U85" s="29" t="n"/>
      <c r="V85" s="29" t="n"/>
      <c r="W85" s="20" t="inlineStr">
        <is>
          <t>Só benchmarking (Revisão ECF e local file)</t>
        </is>
      </c>
      <c r="X85" s="1" t="n"/>
    </row>
    <row r="86" ht="22" customHeight="1" s="110">
      <c r="A86" s="54" t="n">
        <v>81</v>
      </c>
      <c r="B86" s="55" t="inlineStr">
        <is>
          <t>Mahindra - TP 2025</t>
        </is>
      </c>
      <c r="C86" s="28" t="n"/>
      <c r="D86" s="54" t="inlineStr">
        <is>
          <t>GTB61639</t>
        </is>
      </c>
      <c r="E86" s="5" t="inlineStr">
        <is>
          <t>Juan Herrera</t>
        </is>
      </c>
      <c r="F86" s="5" t="inlineStr">
        <is>
          <t>Catarina Muniz</t>
        </is>
      </c>
      <c r="G86" s="28" t="n"/>
      <c r="H86" s="28" t="n"/>
      <c r="I86" s="54" t="inlineStr">
        <is>
          <t>TAX</t>
        </is>
      </c>
      <c r="J86" s="54" t="n">
        <v>2025</v>
      </c>
      <c r="K86" s="54" t="inlineStr">
        <is>
          <t>S</t>
        </is>
      </c>
      <c r="L86" s="56" t="inlineStr">
        <is>
          <t>Reportado</t>
        </is>
      </c>
      <c r="M86" s="54" t="inlineStr">
        <is>
          <t>S</t>
        </is>
      </c>
      <c r="N86" s="54" t="inlineStr">
        <is>
          <t>N</t>
        </is>
      </c>
      <c r="O86" s="54" t="inlineStr">
        <is>
          <t>N/A</t>
        </is>
      </c>
      <c r="P86" s="54" t="inlineStr">
        <is>
          <t>S</t>
        </is>
      </c>
      <c r="Q86" s="54" t="inlineStr">
        <is>
          <t>N</t>
        </is>
      </c>
      <c r="R86" s="28" t="n"/>
      <c r="S86" s="28" t="n"/>
      <c r="T86" s="28" t="n"/>
      <c r="U86" s="28" t="n"/>
      <c r="V86" s="28" t="n"/>
      <c r="W86" s="28" t="n"/>
      <c r="X86" s="1" t="n"/>
    </row>
    <row r="87" ht="22" customHeight="1" s="110">
      <c r="A87" s="57" t="n">
        <v>82</v>
      </c>
      <c r="B87" s="58" t="inlineStr">
        <is>
          <t>Marriott</t>
        </is>
      </c>
      <c r="C87" s="57" t="n">
        <v>3</v>
      </c>
      <c r="D87" s="57" t="inlineStr">
        <is>
          <t>GTB61491</t>
        </is>
      </c>
      <c r="E87" s="8" t="inlineStr">
        <is>
          <t>Giovanna Failache</t>
        </is>
      </c>
      <c r="F87" s="29" t="n"/>
      <c r="G87" s="8" t="inlineStr">
        <is>
          <t>Analis Rossi</t>
        </is>
      </c>
      <c r="H87" s="29" t="n"/>
      <c r="I87" s="57" t="inlineStr">
        <is>
          <t>TAX</t>
        </is>
      </c>
      <c r="J87" s="57" t="n">
        <v>2025</v>
      </c>
      <c r="K87" s="57" t="inlineStr">
        <is>
          <t>S</t>
        </is>
      </c>
      <c r="L87" s="59" t="inlineStr">
        <is>
          <t>Andamento</t>
        </is>
      </c>
      <c r="M87" s="57" t="inlineStr">
        <is>
          <t>S</t>
        </is>
      </c>
      <c r="N87" s="57" t="inlineStr">
        <is>
          <t>N</t>
        </is>
      </c>
      <c r="O87" s="57" t="inlineStr">
        <is>
          <t>N</t>
        </is>
      </c>
      <c r="P87" s="57" t="inlineStr">
        <is>
          <t>N</t>
        </is>
      </c>
      <c r="Q87" s="57" t="inlineStr">
        <is>
          <t>N</t>
        </is>
      </c>
      <c r="R87" s="8" t="inlineStr">
        <is>
          <t>N/A</t>
        </is>
      </c>
      <c r="S87" s="8" t="inlineStr">
        <is>
          <t>N/A</t>
        </is>
      </c>
      <c r="T87" s="8" t="inlineStr">
        <is>
          <t>N/A</t>
        </is>
      </c>
      <c r="U87" s="57" t="inlineStr">
        <is>
          <t>N</t>
        </is>
      </c>
      <c r="V87" s="57" t="inlineStr">
        <is>
          <t>N</t>
        </is>
      </c>
      <c r="W87" s="29" t="n"/>
      <c r="X87" s="1" t="n"/>
    </row>
    <row r="88" ht="22" customHeight="1" s="110">
      <c r="A88" s="54" t="n">
        <v>83</v>
      </c>
      <c r="B88" s="55" t="inlineStr">
        <is>
          <t>Merit Medical</t>
        </is>
      </c>
      <c r="C88" s="28" t="n"/>
      <c r="D88" s="54" t="inlineStr">
        <is>
          <t>GTB53669</t>
        </is>
      </c>
      <c r="E88" s="5" t="inlineStr">
        <is>
          <t>Mauricio Daboín</t>
        </is>
      </c>
      <c r="F88" s="5" t="inlineStr">
        <is>
          <t>Julia Loureiro</t>
        </is>
      </c>
      <c r="G88" s="5" t="inlineStr">
        <is>
          <t>Giovanna Caracho</t>
        </is>
      </c>
      <c r="H88" s="28" t="n"/>
      <c r="I88" s="54" t="inlineStr">
        <is>
          <t>TAX</t>
        </is>
      </c>
      <c r="J88" s="54" t="inlineStr">
        <is>
          <t>2025 - 2026</t>
        </is>
      </c>
      <c r="K88" s="54" t="inlineStr">
        <is>
          <t>S</t>
        </is>
      </c>
      <c r="L88" s="56" t="inlineStr">
        <is>
          <t>Reportado</t>
        </is>
      </c>
      <c r="M88" s="54" t="inlineStr">
        <is>
          <t>S</t>
        </is>
      </c>
      <c r="N88" s="54" t="inlineStr">
        <is>
          <t>S</t>
        </is>
      </c>
      <c r="O88" s="54" t="inlineStr">
        <is>
          <t>N</t>
        </is>
      </c>
      <c r="P88" s="54" t="inlineStr">
        <is>
          <t>S</t>
        </is>
      </c>
      <c r="Q88" s="54" t="inlineStr">
        <is>
          <t>N</t>
        </is>
      </c>
      <c r="R88" s="28" t="n"/>
      <c r="S88" s="5" t="inlineStr">
        <is>
          <t>N/A</t>
        </is>
      </c>
      <c r="T88" s="5" t="inlineStr">
        <is>
          <t>N/A</t>
        </is>
      </c>
      <c r="U88" s="28" t="n"/>
      <c r="V88" s="28" t="n"/>
      <c r="W88" s="28" t="n"/>
      <c r="X88" s="1" t="n"/>
    </row>
    <row r="89" ht="22" customHeight="1" s="110">
      <c r="A89" s="57" t="n">
        <v>84</v>
      </c>
      <c r="B89" s="58" t="inlineStr">
        <is>
          <t>Middleby</t>
        </is>
      </c>
      <c r="C89" s="29" t="n"/>
      <c r="D89" s="57" t="inlineStr">
        <is>
          <t>GTB63093</t>
        </is>
      </c>
      <c r="E89" s="8" t="inlineStr">
        <is>
          <t>Clarissa Haidar</t>
        </is>
      </c>
      <c r="F89" s="8" t="inlineStr">
        <is>
          <t>Catarina Muniz</t>
        </is>
      </c>
      <c r="G89" s="8" t="inlineStr">
        <is>
          <t>Letícia Dantas</t>
        </is>
      </c>
      <c r="H89" s="8" t="inlineStr">
        <is>
          <t>-</t>
        </is>
      </c>
      <c r="I89" s="57" t="inlineStr">
        <is>
          <t>TAX</t>
        </is>
      </c>
      <c r="J89" s="57" t="n">
        <v>2025</v>
      </c>
      <c r="K89" s="29" t="n"/>
      <c r="L89" s="59" t="inlineStr">
        <is>
          <t>Andamento</t>
        </is>
      </c>
      <c r="M89" s="57" t="inlineStr">
        <is>
          <t>S</t>
        </is>
      </c>
      <c r="N89" s="29" t="n"/>
      <c r="O89" s="29" t="n"/>
      <c r="P89" s="57" t="inlineStr">
        <is>
          <t>S</t>
        </is>
      </c>
      <c r="Q89" s="57" t="inlineStr">
        <is>
          <t>N</t>
        </is>
      </c>
      <c r="R89" s="29" t="n"/>
      <c r="S89" s="29" t="n"/>
      <c r="T89" s="29" t="n"/>
      <c r="U89" s="29" t="n"/>
      <c r="V89" s="29" t="n"/>
      <c r="W89" s="29" t="n"/>
      <c r="X89" s="1" t="n"/>
    </row>
    <row r="90" ht="22" customHeight="1" s="110">
      <c r="A90" s="54" t="n">
        <v>85</v>
      </c>
      <c r="B90" s="55" t="inlineStr">
        <is>
          <t>MIH Brasil</t>
        </is>
      </c>
      <c r="C90" s="28" t="n"/>
      <c r="D90" s="54" t="inlineStr">
        <is>
          <t>GTB64683</t>
        </is>
      </c>
      <c r="E90" s="5" t="inlineStr">
        <is>
          <t>Giovanna Failache</t>
        </is>
      </c>
      <c r="F90" s="28" t="n"/>
      <c r="G90" s="28" t="n"/>
      <c r="H90" s="28" t="n"/>
      <c r="I90" s="54" t="inlineStr">
        <is>
          <t>TAX</t>
        </is>
      </c>
      <c r="J90" s="54" t="n">
        <v>2025</v>
      </c>
      <c r="K90" s="54" t="inlineStr">
        <is>
          <t>S</t>
        </is>
      </c>
      <c r="L90" s="63" t="inlineStr">
        <is>
          <t>Inicial</t>
        </is>
      </c>
      <c r="M90" s="54" t="inlineStr">
        <is>
          <t>S</t>
        </is>
      </c>
      <c r="N90" s="54" t="inlineStr">
        <is>
          <t>N/A</t>
        </is>
      </c>
      <c r="O90" s="54" t="inlineStr">
        <is>
          <t>N</t>
        </is>
      </c>
      <c r="P90" s="54" t="inlineStr">
        <is>
          <t>N</t>
        </is>
      </c>
      <c r="Q90" s="54" t="inlineStr">
        <is>
          <t>N</t>
        </is>
      </c>
      <c r="R90" s="5" t="inlineStr">
        <is>
          <t>N/A</t>
        </is>
      </c>
      <c r="S90" s="5" t="inlineStr">
        <is>
          <t>N/A</t>
        </is>
      </c>
      <c r="T90" s="5" t="inlineStr">
        <is>
          <t>N/A</t>
        </is>
      </c>
      <c r="U90" s="54" t="inlineStr">
        <is>
          <t>N/A</t>
        </is>
      </c>
      <c r="V90" s="54" t="inlineStr">
        <is>
          <t>N/A</t>
        </is>
      </c>
      <c r="W90" s="28" t="n"/>
      <c r="X90" s="1" t="n"/>
    </row>
    <row r="91" ht="22" customHeight="1" s="110">
      <c r="A91" s="57" t="n">
        <v>86</v>
      </c>
      <c r="B91" s="58" t="inlineStr">
        <is>
          <t>Mills</t>
        </is>
      </c>
      <c r="C91" s="29" t="n"/>
      <c r="D91" s="57" t="inlineStr">
        <is>
          <t>GTB58682</t>
        </is>
      </c>
      <c r="E91" s="8" t="inlineStr">
        <is>
          <t>Juan Herrera</t>
        </is>
      </c>
      <c r="F91" s="29" t="n"/>
      <c r="G91" s="8" t="inlineStr">
        <is>
          <t>Leticia Dantas</t>
        </is>
      </c>
      <c r="H91" s="29" t="n"/>
      <c r="I91" s="57" t="inlineStr">
        <is>
          <t>TAX</t>
        </is>
      </c>
      <c r="J91" s="57" t="n">
        <v>2025</v>
      </c>
      <c r="K91" s="57" t="inlineStr">
        <is>
          <t>S</t>
        </is>
      </c>
      <c r="L91" s="60" t="inlineStr">
        <is>
          <t>Reportado</t>
        </is>
      </c>
      <c r="M91" s="57" t="inlineStr">
        <is>
          <t>S</t>
        </is>
      </c>
      <c r="N91" s="57" t="inlineStr">
        <is>
          <t>N</t>
        </is>
      </c>
      <c r="O91" s="57" t="inlineStr">
        <is>
          <t>N/A</t>
        </is>
      </c>
      <c r="P91" s="57" t="inlineStr">
        <is>
          <t>S</t>
        </is>
      </c>
      <c r="Q91" s="57" t="inlineStr">
        <is>
          <t>N</t>
        </is>
      </c>
      <c r="R91" s="29" t="n"/>
      <c r="S91" s="29" t="n"/>
      <c r="T91" s="29" t="n"/>
      <c r="U91" s="29" t="n"/>
      <c r="V91" s="29" t="n"/>
      <c r="W91" s="29" t="n"/>
      <c r="X91" s="1" t="n"/>
    </row>
    <row r="92" ht="22" customHeight="1" s="110">
      <c r="A92" s="54" t="n">
        <v>87</v>
      </c>
      <c r="B92" s="55" t="inlineStr">
        <is>
          <t>MJV SOLUÇÕES</t>
        </is>
      </c>
      <c r="C92" s="28" t="n"/>
      <c r="D92" s="54" t="inlineStr">
        <is>
          <t>GTB60490</t>
        </is>
      </c>
      <c r="E92" s="5" t="inlineStr">
        <is>
          <t>Juan Herrera</t>
        </is>
      </c>
      <c r="F92" s="28" t="n"/>
      <c r="G92" s="5" t="inlineStr">
        <is>
          <t>Letícia Dantas</t>
        </is>
      </c>
      <c r="H92" s="5" t="inlineStr">
        <is>
          <t>Bruna Vidal</t>
        </is>
      </c>
      <c r="I92" s="54" t="inlineStr">
        <is>
          <t>TAX</t>
        </is>
      </c>
      <c r="J92" s="54" t="n">
        <v>2025</v>
      </c>
      <c r="K92" s="54" t="inlineStr">
        <is>
          <t>S</t>
        </is>
      </c>
      <c r="L92" s="56" t="inlineStr">
        <is>
          <t>Reportado</t>
        </is>
      </c>
      <c r="M92" s="54" t="inlineStr">
        <is>
          <t>S</t>
        </is>
      </c>
      <c r="N92" s="54" t="inlineStr">
        <is>
          <t>N/A</t>
        </is>
      </c>
      <c r="O92" s="54" t="inlineStr">
        <is>
          <t>N</t>
        </is>
      </c>
      <c r="P92" s="54" t="inlineStr">
        <is>
          <t>N</t>
        </is>
      </c>
      <c r="Q92" s="54" t="inlineStr">
        <is>
          <t>N</t>
        </is>
      </c>
      <c r="R92" s="28" t="n"/>
      <c r="S92" s="28" t="n"/>
      <c r="T92" s="28" t="n"/>
      <c r="U92" s="28" t="n"/>
      <c r="V92" s="28" t="n"/>
      <c r="W92" s="28" t="n"/>
      <c r="X92" s="1" t="n"/>
    </row>
    <row r="93" ht="22" customHeight="1" s="110">
      <c r="A93" s="57" t="n">
        <v>88</v>
      </c>
      <c r="B93" s="58" t="inlineStr">
        <is>
          <t>MJV TECNOLOGIA &amp; INOVACAO LTDA</t>
        </is>
      </c>
      <c r="C93" s="29" t="n"/>
      <c r="D93" s="57" t="inlineStr">
        <is>
          <t>GTB60494</t>
        </is>
      </c>
      <c r="E93" s="8" t="inlineStr">
        <is>
          <t>Juan Herrera</t>
        </is>
      </c>
      <c r="F93" s="29" t="n"/>
      <c r="G93" s="8" t="inlineStr">
        <is>
          <t>Letícia Dantas</t>
        </is>
      </c>
      <c r="H93" s="8" t="inlineStr">
        <is>
          <t>Bruna Vidal</t>
        </is>
      </c>
      <c r="I93" s="57" t="inlineStr">
        <is>
          <t>TAX</t>
        </is>
      </c>
      <c r="J93" s="57" t="n">
        <v>2025</v>
      </c>
      <c r="K93" s="57" t="inlineStr">
        <is>
          <t>S</t>
        </is>
      </c>
      <c r="L93" s="60" t="inlineStr">
        <is>
          <t>Reportado</t>
        </is>
      </c>
      <c r="M93" s="57" t="inlineStr">
        <is>
          <t>S</t>
        </is>
      </c>
      <c r="N93" s="57" t="inlineStr">
        <is>
          <t>N/A</t>
        </is>
      </c>
      <c r="O93" s="57" t="inlineStr">
        <is>
          <t>N</t>
        </is>
      </c>
      <c r="P93" s="57" t="inlineStr">
        <is>
          <t>N</t>
        </is>
      </c>
      <c r="Q93" s="57" t="inlineStr">
        <is>
          <t>N</t>
        </is>
      </c>
      <c r="R93" s="29" t="n"/>
      <c r="S93" s="29" t="n"/>
      <c r="T93" s="29" t="n"/>
      <c r="U93" s="29" t="n"/>
      <c r="V93" s="29" t="n"/>
      <c r="W93" s="29" t="n"/>
      <c r="X93" s="1" t="n"/>
    </row>
    <row r="94" ht="22" customHeight="1" s="110">
      <c r="A94" s="54" t="n">
        <v>89</v>
      </c>
      <c r="B94" s="55" t="inlineStr">
        <is>
          <t>Mobitec</t>
        </is>
      </c>
      <c r="C94" s="28" t="n"/>
      <c r="D94" s="54" t="inlineStr">
        <is>
          <t>GTB62550</t>
        </is>
      </c>
      <c r="E94" s="5" t="inlineStr">
        <is>
          <t>Juan Herrera</t>
        </is>
      </c>
      <c r="F94" s="5" t="inlineStr">
        <is>
          <t>Julia Loureiro</t>
        </is>
      </c>
      <c r="G94" s="5" t="inlineStr">
        <is>
          <t>Letícia Dantas</t>
        </is>
      </c>
      <c r="H94" s="28" t="n"/>
      <c r="I94" s="54" t="inlineStr">
        <is>
          <t>TAX</t>
        </is>
      </c>
      <c r="J94" s="54" t="n">
        <v>2025</v>
      </c>
      <c r="K94" s="54" t="inlineStr">
        <is>
          <t>S</t>
        </is>
      </c>
      <c r="L94" s="56" t="inlineStr">
        <is>
          <t>Reportado</t>
        </is>
      </c>
      <c r="M94" s="54" t="inlineStr">
        <is>
          <t>N/A</t>
        </is>
      </c>
      <c r="N94" s="28" t="n"/>
      <c r="O94" s="28" t="n"/>
      <c r="P94" s="54" t="inlineStr">
        <is>
          <t>N</t>
        </is>
      </c>
      <c r="Q94" s="54" t="inlineStr">
        <is>
          <t>N</t>
        </is>
      </c>
      <c r="R94" s="5" t="inlineStr">
        <is>
          <t>N/A</t>
        </is>
      </c>
      <c r="S94" s="5" t="inlineStr">
        <is>
          <t>N/A</t>
        </is>
      </c>
      <c r="T94" s="5" t="inlineStr">
        <is>
          <t>N/A</t>
        </is>
      </c>
      <c r="U94" s="54" t="inlineStr">
        <is>
          <t>N/A</t>
        </is>
      </c>
      <c r="V94" s="54" t="inlineStr">
        <is>
          <t>N/A</t>
        </is>
      </c>
      <c r="W94" s="28" t="n"/>
      <c r="X94" s="1" t="n"/>
    </row>
    <row r="95" ht="22" customHeight="1" s="110">
      <c r="A95" s="57" t="n">
        <v>90</v>
      </c>
      <c r="B95" s="58" t="inlineStr">
        <is>
          <t>Murata</t>
        </is>
      </c>
      <c r="C95" s="29" t="n"/>
      <c r="D95" s="57" t="inlineStr">
        <is>
          <t>GTB63572</t>
        </is>
      </c>
      <c r="E95" s="8" t="inlineStr">
        <is>
          <t>Juan Herrera</t>
        </is>
      </c>
      <c r="F95" s="29" t="n"/>
      <c r="G95" s="8" t="inlineStr">
        <is>
          <t>Carlos Benfica</t>
        </is>
      </c>
      <c r="H95" s="8" t="inlineStr">
        <is>
          <t>Kaik Oliveira</t>
        </is>
      </c>
      <c r="I95" s="57" t="inlineStr">
        <is>
          <t>TAX</t>
        </is>
      </c>
      <c r="J95" s="57" t="n">
        <v>2025</v>
      </c>
      <c r="K95" s="57" t="inlineStr">
        <is>
          <t>S</t>
        </is>
      </c>
      <c r="L95" s="60" t="inlineStr">
        <is>
          <t>Reportado</t>
        </is>
      </c>
      <c r="M95" s="57" t="inlineStr">
        <is>
          <t>S</t>
        </is>
      </c>
      <c r="N95" s="57" t="inlineStr">
        <is>
          <t>N</t>
        </is>
      </c>
      <c r="O95" s="57" t="inlineStr">
        <is>
          <t>N/A</t>
        </is>
      </c>
      <c r="P95" s="57" t="inlineStr">
        <is>
          <t>S</t>
        </is>
      </c>
      <c r="Q95" s="57" t="inlineStr">
        <is>
          <t>N</t>
        </is>
      </c>
      <c r="R95" s="29" t="n"/>
      <c r="S95" s="29" t="n"/>
      <c r="T95" s="29" t="n"/>
      <c r="U95" s="29" t="n"/>
      <c r="V95" s="29" t="n"/>
      <c r="W95" s="29" t="n"/>
      <c r="X95" s="1" t="n"/>
    </row>
    <row r="96" ht="22" customHeight="1" s="110">
      <c r="A96" s="54" t="n">
        <v>91</v>
      </c>
      <c r="B96" s="55" t="inlineStr">
        <is>
          <t>Natura</t>
        </is>
      </c>
      <c r="C96" s="28" t="n"/>
      <c r="D96" s="54" t="inlineStr">
        <is>
          <t>GTB60366</t>
        </is>
      </c>
      <c r="E96" s="5" t="inlineStr">
        <is>
          <t>Giovanna Failache</t>
        </is>
      </c>
      <c r="F96" s="5" t="inlineStr">
        <is>
          <t>Catarina Muniz</t>
        </is>
      </c>
      <c r="G96" s="5" t="inlineStr">
        <is>
          <t>Analis Rossi</t>
        </is>
      </c>
      <c r="H96" s="5" t="inlineStr">
        <is>
          <t>Bruna Vidal</t>
        </is>
      </c>
      <c r="I96" s="54" t="inlineStr">
        <is>
          <t>TAX</t>
        </is>
      </c>
      <c r="J96" s="54" t="n">
        <v>2024</v>
      </c>
      <c r="K96" s="54" t="inlineStr">
        <is>
          <t>N</t>
        </is>
      </c>
      <c r="L96" s="63" t="inlineStr">
        <is>
          <t>Pendência do cliente</t>
        </is>
      </c>
      <c r="M96" s="54" t="inlineStr">
        <is>
          <t>N/A</t>
        </is>
      </c>
      <c r="N96" s="54" t="inlineStr">
        <is>
          <t>S</t>
        </is>
      </c>
      <c r="O96" s="54" t="inlineStr">
        <is>
          <t>N/A</t>
        </is>
      </c>
      <c r="P96" s="54" t="inlineStr">
        <is>
          <t>N</t>
        </is>
      </c>
      <c r="Q96" s="54" t="inlineStr">
        <is>
          <t>N</t>
        </is>
      </c>
      <c r="R96" s="5" t="inlineStr">
        <is>
          <t>N/A</t>
        </is>
      </c>
      <c r="S96" s="5" t="inlineStr">
        <is>
          <t>N/A</t>
        </is>
      </c>
      <c r="T96" s="5" t="inlineStr">
        <is>
          <t>N/A</t>
        </is>
      </c>
      <c r="U96" s="54" t="inlineStr">
        <is>
          <t>N/A</t>
        </is>
      </c>
      <c r="V96" s="54" t="inlineStr">
        <is>
          <t>N/A</t>
        </is>
      </c>
      <c r="W96" s="28" t="n"/>
      <c r="X96" s="1" t="n"/>
    </row>
    <row r="97" ht="22" customHeight="1" s="110">
      <c r="A97" s="57" t="n">
        <v>92</v>
      </c>
      <c r="B97" s="58" t="inlineStr">
        <is>
          <t>Netquest</t>
        </is>
      </c>
      <c r="C97" s="29" t="n"/>
      <c r="D97" s="57" t="inlineStr">
        <is>
          <t>GTB61607</t>
        </is>
      </c>
      <c r="E97" s="8" t="inlineStr">
        <is>
          <t>Juan Herrera</t>
        </is>
      </c>
      <c r="F97" s="8" t="inlineStr">
        <is>
          <t>Catarina Muniz</t>
        </is>
      </c>
      <c r="G97" s="29" t="n"/>
      <c r="H97" s="8" t="inlineStr">
        <is>
          <t>Kaik Oliveira</t>
        </is>
      </c>
      <c r="I97" s="57" t="inlineStr">
        <is>
          <t>TAX</t>
        </is>
      </c>
      <c r="J97" s="57" t="n">
        <v>2025</v>
      </c>
      <c r="K97" s="57" t="inlineStr">
        <is>
          <t>S</t>
        </is>
      </c>
      <c r="L97" s="60" t="inlineStr">
        <is>
          <t>Reportado</t>
        </is>
      </c>
      <c r="M97" s="57" t="inlineStr">
        <is>
          <t>S</t>
        </is>
      </c>
      <c r="N97" s="57" t="inlineStr">
        <is>
          <t>N</t>
        </is>
      </c>
      <c r="O97" s="57" t="inlineStr">
        <is>
          <t>N/A</t>
        </is>
      </c>
      <c r="P97" s="57" t="inlineStr">
        <is>
          <t>S</t>
        </is>
      </c>
      <c r="Q97" s="57" t="inlineStr">
        <is>
          <t>N</t>
        </is>
      </c>
      <c r="R97" s="29" t="n"/>
      <c r="S97" s="29" t="n"/>
      <c r="T97" s="29" t="n"/>
      <c r="U97" s="29" t="n"/>
      <c r="V97" s="29" t="n"/>
      <c r="W97" s="29" t="n"/>
      <c r="X97" s="1" t="n"/>
    </row>
    <row r="98" ht="22" customHeight="1" s="110">
      <c r="A98" s="54" t="n">
        <v>93</v>
      </c>
      <c r="B98" s="55" t="inlineStr">
        <is>
          <t xml:space="preserve">Nichino </t>
        </is>
      </c>
      <c r="C98" s="28" t="n"/>
      <c r="D98" s="54" t="inlineStr">
        <is>
          <t>GTB60101</t>
        </is>
      </c>
      <c r="E98" s="5" t="inlineStr">
        <is>
          <t>Jessica Barbieri</t>
        </is>
      </c>
      <c r="F98" s="28" t="n"/>
      <c r="G98" s="5" t="inlineStr">
        <is>
          <t>Carlos Benfica</t>
        </is>
      </c>
      <c r="H98" s="5" t="inlineStr">
        <is>
          <t>Kaik Oliveira</t>
        </is>
      </c>
      <c r="I98" s="54" t="inlineStr">
        <is>
          <t>TAX</t>
        </is>
      </c>
      <c r="J98" s="54" t="n">
        <v>2025</v>
      </c>
      <c r="K98" s="54" t="inlineStr">
        <is>
          <t>N</t>
        </is>
      </c>
      <c r="L98" s="56" t="inlineStr">
        <is>
          <t>Reportado</t>
        </is>
      </c>
      <c r="M98" s="54" t="inlineStr">
        <is>
          <t>S</t>
        </is>
      </c>
      <c r="N98" s="28" t="n"/>
      <c r="O98" s="54" t="inlineStr">
        <is>
          <t>S</t>
        </is>
      </c>
      <c r="P98" s="54" t="inlineStr">
        <is>
          <t xml:space="preserve">N </t>
        </is>
      </c>
      <c r="Q98" s="54" t="inlineStr">
        <is>
          <t>N</t>
        </is>
      </c>
      <c r="R98" s="28" t="n"/>
      <c r="S98" s="28" t="n"/>
      <c r="T98" s="28" t="n"/>
      <c r="U98" s="28" t="n"/>
      <c r="V98" s="28" t="n"/>
      <c r="W98" s="28" t="n"/>
      <c r="X98" s="1" t="n"/>
    </row>
    <row r="99" ht="22" customHeight="1" s="110">
      <c r="A99" s="57" t="n">
        <v>94</v>
      </c>
      <c r="B99" s="58" t="inlineStr">
        <is>
          <t xml:space="preserve">Nissin </t>
        </is>
      </c>
      <c r="C99" s="29" t="n"/>
      <c r="D99" s="57" t="inlineStr">
        <is>
          <t>GTB61417</t>
        </is>
      </c>
      <c r="E99" s="8" t="inlineStr">
        <is>
          <t>Jessica Barbieri</t>
        </is>
      </c>
      <c r="F99" s="8" t="inlineStr">
        <is>
          <t>Catarina Muniz</t>
        </is>
      </c>
      <c r="G99" s="29" t="n"/>
      <c r="H99" s="8" t="inlineStr">
        <is>
          <t>Eduardo Campos</t>
        </is>
      </c>
      <c r="I99" s="57" t="inlineStr">
        <is>
          <t>TAX</t>
        </is>
      </c>
      <c r="J99" s="57" t="n">
        <v>2025</v>
      </c>
      <c r="K99" s="57" t="inlineStr">
        <is>
          <t>S</t>
        </is>
      </c>
      <c r="L99" s="60" t="inlineStr">
        <is>
          <t xml:space="preserve">Reportado </t>
        </is>
      </c>
      <c r="M99" s="57" t="inlineStr">
        <is>
          <t>S</t>
        </is>
      </c>
      <c r="N99" s="29" t="n"/>
      <c r="O99" s="29" t="n"/>
      <c r="P99" s="57" t="inlineStr">
        <is>
          <t>S</t>
        </is>
      </c>
      <c r="Q99" s="57" t="inlineStr">
        <is>
          <t>N</t>
        </is>
      </c>
      <c r="R99" s="29" t="n"/>
      <c r="S99" s="29" t="n"/>
      <c r="T99" s="29" t="n"/>
      <c r="U99" s="29" t="n"/>
      <c r="V99" s="29" t="n"/>
      <c r="W99" s="29" t="n"/>
      <c r="X99" s="1" t="n"/>
    </row>
    <row r="100" ht="22" customHeight="1" s="110">
      <c r="A100" s="54" t="n">
        <v>95</v>
      </c>
      <c r="B100" s="55" t="inlineStr">
        <is>
          <t>Novelis</t>
        </is>
      </c>
      <c r="C100" s="28" t="n"/>
      <c r="D100" s="54" t="inlineStr">
        <is>
          <t>GTB44461</t>
        </is>
      </c>
      <c r="E100" s="5" t="inlineStr">
        <is>
          <t>Giovanna Failache</t>
        </is>
      </c>
      <c r="F100" s="5" t="inlineStr">
        <is>
          <t>Julia Loureiro</t>
        </is>
      </c>
      <c r="G100" s="28" t="n"/>
      <c r="H100" s="5" t="inlineStr">
        <is>
          <t>Eduardo Campos</t>
        </is>
      </c>
      <c r="I100" s="54" t="inlineStr">
        <is>
          <t>TAX</t>
        </is>
      </c>
      <c r="J100" s="54" t="n">
        <v>2024</v>
      </c>
      <c r="K100" s="54" t="inlineStr">
        <is>
          <t>N</t>
        </is>
      </c>
      <c r="L100" s="61" t="inlineStr">
        <is>
          <t>Andamento</t>
        </is>
      </c>
      <c r="M100" s="54" t="inlineStr">
        <is>
          <t>N/A</t>
        </is>
      </c>
      <c r="N100" s="54" t="inlineStr">
        <is>
          <t>N/A</t>
        </is>
      </c>
      <c r="O100" s="54" t="inlineStr">
        <is>
          <t>N/A</t>
        </is>
      </c>
      <c r="P100" s="54" t="inlineStr">
        <is>
          <t>N</t>
        </is>
      </c>
      <c r="Q100" s="54" t="inlineStr">
        <is>
          <t>N</t>
        </is>
      </c>
      <c r="R100" s="5" t="inlineStr">
        <is>
          <t>N/A</t>
        </is>
      </c>
      <c r="S100" s="5" t="inlineStr">
        <is>
          <t>N/A</t>
        </is>
      </c>
      <c r="T100" s="5" t="inlineStr">
        <is>
          <t>N/A</t>
        </is>
      </c>
      <c r="U100" s="54" t="inlineStr">
        <is>
          <t>N</t>
        </is>
      </c>
      <c r="V100" s="54" t="inlineStr">
        <is>
          <t>N</t>
        </is>
      </c>
      <c r="W100" s="24" t="inlineStr">
        <is>
          <t>Revisão ECF TP</t>
        </is>
      </c>
      <c r="X100" s="1" t="n"/>
    </row>
    <row r="101" ht="22" customHeight="1" s="110">
      <c r="A101" s="57" t="n">
        <v>96</v>
      </c>
      <c r="B101" s="58" t="inlineStr">
        <is>
          <t>Oliver</t>
        </is>
      </c>
      <c r="C101" s="57" t="n">
        <v>3</v>
      </c>
      <c r="D101" s="57" t="inlineStr">
        <is>
          <t>GTB62615</t>
        </is>
      </c>
      <c r="E101" s="8" t="inlineStr">
        <is>
          <t>Giovanna Failache</t>
        </is>
      </c>
      <c r="F101" s="29" t="n"/>
      <c r="G101" s="8" t="inlineStr">
        <is>
          <t>Giovanna Caracho</t>
        </is>
      </c>
      <c r="H101" s="29" t="n"/>
      <c r="I101" s="57" t="inlineStr">
        <is>
          <t>TAX</t>
        </is>
      </c>
      <c r="J101" s="57" t="n">
        <v>2025</v>
      </c>
      <c r="K101" s="57" t="inlineStr">
        <is>
          <t>S</t>
        </is>
      </c>
      <c r="L101" s="59" t="inlineStr">
        <is>
          <t>Andamento</t>
        </is>
      </c>
      <c r="M101" s="57" t="inlineStr">
        <is>
          <t>S</t>
        </is>
      </c>
      <c r="N101" s="57" t="inlineStr">
        <is>
          <t>N</t>
        </is>
      </c>
      <c r="O101" s="57" t="inlineStr">
        <is>
          <t>N</t>
        </is>
      </c>
      <c r="P101" s="57" t="inlineStr">
        <is>
          <t>N</t>
        </is>
      </c>
      <c r="Q101" s="57" t="inlineStr">
        <is>
          <t>N</t>
        </is>
      </c>
      <c r="R101" s="8" t="inlineStr">
        <is>
          <t>N/A</t>
        </is>
      </c>
      <c r="S101" s="8" t="inlineStr">
        <is>
          <t>N/A</t>
        </is>
      </c>
      <c r="T101" s="8" t="inlineStr">
        <is>
          <t>N/A</t>
        </is>
      </c>
      <c r="U101" s="57" t="inlineStr">
        <is>
          <t>N</t>
        </is>
      </c>
      <c r="V101" s="57" t="inlineStr">
        <is>
          <t>N</t>
        </is>
      </c>
      <c r="W101" s="29" t="n"/>
      <c r="X101" s="1" t="n"/>
    </row>
    <row r="102" ht="22" customHeight="1" s="110">
      <c r="A102" s="54" t="n">
        <v>97</v>
      </c>
      <c r="B102" s="55" t="inlineStr">
        <is>
          <t>Opportunity</t>
        </is>
      </c>
      <c r="C102" s="54" t="n">
        <v>5</v>
      </c>
      <c r="D102" s="54" t="inlineStr">
        <is>
          <t>GTB60578</t>
        </is>
      </c>
      <c r="E102" s="5" t="inlineStr">
        <is>
          <t>Jessica Barbieri</t>
        </is>
      </c>
      <c r="F102" s="5" t="inlineStr">
        <is>
          <t>Julia Loureiro</t>
        </is>
      </c>
      <c r="G102" s="28" t="n"/>
      <c r="H102" s="5" t="inlineStr">
        <is>
          <t>Kaik Oliveira</t>
        </is>
      </c>
      <c r="I102" s="54" t="inlineStr">
        <is>
          <t>TAX</t>
        </is>
      </c>
      <c r="J102" s="54" t="n">
        <v>2025</v>
      </c>
      <c r="K102" s="54" t="inlineStr">
        <is>
          <t>N</t>
        </is>
      </c>
      <c r="L102" s="56" t="inlineStr">
        <is>
          <t xml:space="preserve">Reportado </t>
        </is>
      </c>
      <c r="M102" s="54" t="inlineStr">
        <is>
          <t>S</t>
        </is>
      </c>
      <c r="N102" s="28" t="n"/>
      <c r="O102" s="28" t="n"/>
      <c r="P102" s="54" t="inlineStr">
        <is>
          <t>N</t>
        </is>
      </c>
      <c r="Q102" s="54" t="inlineStr">
        <is>
          <t>N</t>
        </is>
      </c>
      <c r="R102" s="28" t="n"/>
      <c r="S102" s="28" t="n"/>
      <c r="T102" s="28" t="n"/>
      <c r="U102" s="28" t="n"/>
      <c r="V102" s="28" t="n"/>
      <c r="W102" s="28" t="n"/>
      <c r="X102" s="1" t="n"/>
    </row>
    <row r="103" ht="22" customHeight="1" s="110">
      <c r="A103" s="57" t="n">
        <v>98</v>
      </c>
      <c r="B103" s="58" t="inlineStr">
        <is>
          <t xml:space="preserve">OSG </t>
        </is>
      </c>
      <c r="C103" s="29" t="n"/>
      <c r="D103" s="57" t="inlineStr">
        <is>
          <t>GTB54652</t>
        </is>
      </c>
      <c r="E103" s="8" t="inlineStr">
        <is>
          <t>Jessica Barbieri</t>
        </is>
      </c>
      <c r="F103" s="8" t="inlineStr">
        <is>
          <t>Julia Loureiro</t>
        </is>
      </c>
      <c r="G103" s="8" t="inlineStr">
        <is>
          <t>Carlos Benfica</t>
        </is>
      </c>
      <c r="H103" s="29" t="n"/>
      <c r="I103" s="57" t="inlineStr">
        <is>
          <t>TAX</t>
        </is>
      </c>
      <c r="J103" s="57" t="n">
        <v>2025</v>
      </c>
      <c r="K103" s="29" t="n"/>
      <c r="L103" s="60" t="inlineStr">
        <is>
          <t>Reportado</t>
        </is>
      </c>
      <c r="M103" s="57" t="inlineStr">
        <is>
          <t>S</t>
        </is>
      </c>
      <c r="N103" s="29" t="n"/>
      <c r="O103" s="29" t="n"/>
      <c r="P103" s="57" t="inlineStr">
        <is>
          <t>S</t>
        </is>
      </c>
      <c r="Q103" s="57" t="inlineStr">
        <is>
          <t>N</t>
        </is>
      </c>
      <c r="R103" s="8" t="inlineStr">
        <is>
          <t>Em revisão gerencial</t>
        </is>
      </c>
      <c r="S103" s="29" t="n"/>
      <c r="T103" s="29" t="n"/>
      <c r="U103" s="29" t="n"/>
      <c r="V103" s="29" t="n"/>
      <c r="W103" s="29" t="n"/>
      <c r="X103" s="1" t="n"/>
    </row>
    <row r="104" ht="22" customHeight="1" s="110">
      <c r="A104" s="54" t="n">
        <v>99</v>
      </c>
      <c r="B104" s="55" t="inlineStr">
        <is>
          <t>Ottobock Valinhos (GT Alemanha)</t>
        </is>
      </c>
      <c r="C104" s="28" t="n"/>
      <c r="D104" s="54" t="inlineStr">
        <is>
          <t>GTB64280</t>
        </is>
      </c>
      <c r="E104" s="5" t="inlineStr">
        <is>
          <t>Nathália Marques</t>
        </is>
      </c>
      <c r="F104" s="5" t="inlineStr">
        <is>
          <t>Julia Loureiro</t>
        </is>
      </c>
      <c r="G104" s="5" t="inlineStr">
        <is>
          <t>Carlos Benfica</t>
        </is>
      </c>
      <c r="H104" s="28" t="n"/>
      <c r="I104" s="54" t="inlineStr">
        <is>
          <t>TAX</t>
        </is>
      </c>
      <c r="J104" s="54" t="n">
        <v>2025</v>
      </c>
      <c r="K104" s="54" t="inlineStr">
        <is>
          <t>S</t>
        </is>
      </c>
      <c r="L104" s="56" t="inlineStr">
        <is>
          <t>Reportado</t>
        </is>
      </c>
      <c r="M104" s="54" t="inlineStr">
        <is>
          <t>S</t>
        </is>
      </c>
      <c r="N104" s="54" t="inlineStr">
        <is>
          <t>S</t>
        </is>
      </c>
      <c r="O104" s="54" t="inlineStr">
        <is>
          <t>N</t>
        </is>
      </c>
      <c r="P104" s="54" t="inlineStr">
        <is>
          <t>S</t>
        </is>
      </c>
      <c r="Q104" s="54" t="inlineStr">
        <is>
          <t>N</t>
        </is>
      </c>
      <c r="R104" s="28" t="n"/>
      <c r="S104" s="5" t="inlineStr">
        <is>
          <t>N/A</t>
        </is>
      </c>
      <c r="T104" s="5" t="inlineStr">
        <is>
          <t>N/A</t>
        </is>
      </c>
      <c r="U104" s="28" t="n"/>
      <c r="V104" s="28" t="n"/>
      <c r="W104" s="28" t="n"/>
      <c r="X104" s="1" t="n"/>
    </row>
    <row r="105" ht="22" customHeight="1" s="110">
      <c r="A105" s="57" t="n">
        <v>100</v>
      </c>
      <c r="B105" s="58" t="inlineStr">
        <is>
          <t>Ottobock Vinhedo (GT Alemanha)</t>
        </is>
      </c>
      <c r="C105" s="29" t="n"/>
      <c r="D105" s="57" t="inlineStr">
        <is>
          <t>GTB64280</t>
        </is>
      </c>
      <c r="E105" s="8" t="inlineStr">
        <is>
          <t>Nathália Marques</t>
        </is>
      </c>
      <c r="F105" s="8" t="inlineStr">
        <is>
          <t>Julia Loureiro</t>
        </is>
      </c>
      <c r="G105" s="8" t="inlineStr">
        <is>
          <t>Carlos Benfica</t>
        </is>
      </c>
      <c r="H105" s="29" t="n"/>
      <c r="I105" s="57" t="inlineStr">
        <is>
          <t>TAX</t>
        </is>
      </c>
      <c r="J105" s="57" t="n">
        <v>2025</v>
      </c>
      <c r="K105" s="57" t="inlineStr">
        <is>
          <t>S</t>
        </is>
      </c>
      <c r="L105" s="60" t="inlineStr">
        <is>
          <t>Reportado</t>
        </is>
      </c>
      <c r="M105" s="57" t="inlineStr">
        <is>
          <t>S</t>
        </is>
      </c>
      <c r="N105" s="57" t="inlineStr">
        <is>
          <t>S</t>
        </is>
      </c>
      <c r="O105" s="57" t="inlineStr">
        <is>
          <t>N</t>
        </is>
      </c>
      <c r="P105" s="57" t="inlineStr">
        <is>
          <t>S</t>
        </is>
      </c>
      <c r="Q105" s="57" t="inlineStr">
        <is>
          <t>N</t>
        </is>
      </c>
      <c r="R105" s="29" t="n"/>
      <c r="S105" s="8" t="inlineStr">
        <is>
          <t>N/A</t>
        </is>
      </c>
      <c r="T105" s="8" t="inlineStr">
        <is>
          <t>N/A</t>
        </is>
      </c>
      <c r="U105" s="29" t="n"/>
      <c r="V105" s="29" t="n"/>
      <c r="W105" s="29" t="n"/>
      <c r="X105" s="1" t="n"/>
    </row>
    <row r="106" ht="22" customHeight="1" s="110">
      <c r="A106" s="54" t="n">
        <v>101</v>
      </c>
      <c r="B106" s="55" t="inlineStr">
        <is>
          <t>Pensabio / Pensalab</t>
        </is>
      </c>
      <c r="C106" s="54" t="n">
        <v>2</v>
      </c>
      <c r="D106" s="54" t="inlineStr">
        <is>
          <t>GTB59959</t>
        </is>
      </c>
      <c r="E106" s="5" t="inlineStr">
        <is>
          <t>Clarissa Haidar</t>
        </is>
      </c>
      <c r="F106" s="5" t="inlineStr">
        <is>
          <t>Julia Loureiro</t>
        </is>
      </c>
      <c r="G106" s="5" t="inlineStr">
        <is>
          <t>Letícia Dantas</t>
        </is>
      </c>
      <c r="H106" s="5" t="inlineStr">
        <is>
          <t>-</t>
        </is>
      </c>
      <c r="I106" s="54" t="inlineStr">
        <is>
          <t>TAX</t>
        </is>
      </c>
      <c r="J106" s="54" t="inlineStr">
        <is>
          <t>2024 - 2025 - 2026</t>
        </is>
      </c>
      <c r="K106" s="28" t="n"/>
      <c r="L106" s="61" t="inlineStr">
        <is>
          <t>Andamento</t>
        </is>
      </c>
      <c r="M106" s="54" t="inlineStr">
        <is>
          <t>S</t>
        </is>
      </c>
      <c r="N106" s="28" t="n"/>
      <c r="O106" s="28" t="n"/>
      <c r="P106" s="54" t="inlineStr">
        <is>
          <t>N</t>
        </is>
      </c>
      <c r="Q106" s="54" t="inlineStr">
        <is>
          <t>N</t>
        </is>
      </c>
      <c r="R106" s="28" t="n"/>
      <c r="S106" s="28" t="n"/>
      <c r="T106" s="28" t="n"/>
      <c r="U106" s="28" t="n"/>
      <c r="V106" s="28" t="n"/>
      <c r="W106" s="28" t="n"/>
      <c r="X106" s="1" t="n"/>
    </row>
    <row r="107" ht="22" customHeight="1" s="110">
      <c r="A107" s="57" t="n">
        <v>102</v>
      </c>
      <c r="B107" s="58" t="inlineStr">
        <is>
          <t>Pertech</t>
        </is>
      </c>
      <c r="C107" s="29" t="n"/>
      <c r="D107" s="57" t="inlineStr">
        <is>
          <t>GTB55757</t>
        </is>
      </c>
      <c r="E107" s="8" t="inlineStr">
        <is>
          <t>Clarissa Haidar</t>
        </is>
      </c>
      <c r="F107" s="8" t="inlineStr">
        <is>
          <t>Catarina Muniz</t>
        </is>
      </c>
      <c r="G107" s="8" t="inlineStr">
        <is>
          <t>-</t>
        </is>
      </c>
      <c r="H107" s="8" t="inlineStr">
        <is>
          <t>Bruna Vidal</t>
        </is>
      </c>
      <c r="I107" s="57" t="inlineStr">
        <is>
          <t>TAX</t>
        </is>
      </c>
      <c r="J107" s="57" t="n">
        <v>2025</v>
      </c>
      <c r="K107" s="29" t="n"/>
      <c r="L107" s="59" t="inlineStr">
        <is>
          <t>Andamento</t>
        </is>
      </c>
      <c r="M107" s="57" t="inlineStr">
        <is>
          <t>S</t>
        </is>
      </c>
      <c r="N107" s="29" t="n"/>
      <c r="O107" s="29" t="n"/>
      <c r="P107" s="57" t="inlineStr">
        <is>
          <t>N</t>
        </is>
      </c>
      <c r="Q107" s="57" t="inlineStr">
        <is>
          <t>N</t>
        </is>
      </c>
      <c r="R107" s="29" t="n"/>
      <c r="S107" s="29" t="n"/>
      <c r="T107" s="29" t="n"/>
      <c r="U107" s="29" t="n"/>
      <c r="V107" s="29" t="n"/>
      <c r="W107" s="29" t="n"/>
      <c r="X107" s="1" t="n"/>
    </row>
    <row r="108" ht="22" customHeight="1" s="110">
      <c r="A108" s="54" t="n">
        <v>103</v>
      </c>
      <c r="B108" s="55" t="inlineStr">
        <is>
          <t>Piatec</t>
        </is>
      </c>
      <c r="C108" s="28" t="n"/>
      <c r="D108" s="54" t="inlineStr">
        <is>
          <t>GTB62766</t>
        </is>
      </c>
      <c r="E108" s="5" t="inlineStr">
        <is>
          <t>Clarissa Haidar</t>
        </is>
      </c>
      <c r="F108" s="5" t="inlineStr">
        <is>
          <t>-</t>
        </is>
      </c>
      <c r="G108" s="5" t="inlineStr">
        <is>
          <t>-</t>
        </is>
      </c>
      <c r="H108" s="5" t="inlineStr">
        <is>
          <t>-</t>
        </is>
      </c>
      <c r="I108" s="54" t="inlineStr">
        <is>
          <t>TAX</t>
        </is>
      </c>
      <c r="J108" s="54" t="n">
        <v>2025</v>
      </c>
      <c r="K108" s="28" t="n"/>
      <c r="L108" s="61" t="inlineStr">
        <is>
          <t>Andamento</t>
        </is>
      </c>
      <c r="M108" s="54" t="inlineStr">
        <is>
          <t>S</t>
        </is>
      </c>
      <c r="N108" s="28" t="n"/>
      <c r="O108" s="28" t="n"/>
      <c r="P108" s="54" t="inlineStr">
        <is>
          <t>N</t>
        </is>
      </c>
      <c r="Q108" s="54" t="inlineStr">
        <is>
          <t>N</t>
        </is>
      </c>
      <c r="R108" s="28" t="n"/>
      <c r="S108" s="28" t="n"/>
      <c r="T108" s="28" t="n"/>
      <c r="U108" s="28" t="n"/>
      <c r="V108" s="28" t="n"/>
      <c r="W108" s="28" t="n"/>
      <c r="X108" s="1" t="n"/>
    </row>
    <row r="109" ht="22" customHeight="1" s="110">
      <c r="A109" s="57" t="n">
        <v>104</v>
      </c>
      <c r="B109" s="58" t="inlineStr">
        <is>
          <t>Pilkington</t>
        </is>
      </c>
      <c r="C109" s="29" t="n"/>
      <c r="D109" s="57" t="inlineStr">
        <is>
          <t>GTB60456</t>
        </is>
      </c>
      <c r="E109" s="8" t="inlineStr">
        <is>
          <t>Jessica Barbieri</t>
        </is>
      </c>
      <c r="F109" s="8" t="inlineStr">
        <is>
          <t>Catarina Muniz</t>
        </is>
      </c>
      <c r="G109" s="29" t="n"/>
      <c r="H109" s="8" t="inlineStr">
        <is>
          <t>Paulo Cavalcante</t>
        </is>
      </c>
      <c r="I109" s="57" t="inlineStr">
        <is>
          <t>TAX</t>
        </is>
      </c>
      <c r="J109" s="57" t="n">
        <v>2025</v>
      </c>
      <c r="K109" s="57" t="inlineStr">
        <is>
          <t>N</t>
        </is>
      </c>
      <c r="L109" s="60" t="inlineStr">
        <is>
          <t xml:space="preserve">Reportado </t>
        </is>
      </c>
      <c r="M109" s="57" t="inlineStr">
        <is>
          <t>S</t>
        </is>
      </c>
      <c r="N109" s="29" t="n"/>
      <c r="O109" s="29" t="n"/>
      <c r="P109" s="57" t="inlineStr">
        <is>
          <t>S</t>
        </is>
      </c>
      <c r="Q109" s="57" t="inlineStr">
        <is>
          <t>N</t>
        </is>
      </c>
      <c r="R109" s="29" t="n"/>
      <c r="S109" s="29" t="n"/>
      <c r="T109" s="29" t="n"/>
      <c r="U109" s="29" t="n"/>
      <c r="V109" s="29" t="n"/>
      <c r="W109" s="29" t="n"/>
      <c r="X109" s="1" t="n"/>
    </row>
    <row r="110" ht="22" customHeight="1" s="110">
      <c r="A110" s="54" t="n">
        <v>105</v>
      </c>
      <c r="B110" s="55" t="inlineStr">
        <is>
          <t>Piller (LCI)</t>
        </is>
      </c>
      <c r="C110" s="28" t="n"/>
      <c r="D110" s="54" t="inlineStr">
        <is>
          <t>GTB62229</t>
        </is>
      </c>
      <c r="E110" s="5" t="inlineStr">
        <is>
          <t>Nathália Marques</t>
        </is>
      </c>
      <c r="F110" s="28" t="n"/>
      <c r="G110" s="5" t="inlineStr">
        <is>
          <t>Carlos Benfica</t>
        </is>
      </c>
      <c r="H110" s="28" t="n"/>
      <c r="I110" s="54" t="inlineStr">
        <is>
          <t>TAX</t>
        </is>
      </c>
      <c r="J110" s="54" t="n">
        <v>2025</v>
      </c>
      <c r="K110" s="54" t="inlineStr">
        <is>
          <t>N</t>
        </is>
      </c>
      <c r="L110" s="63" t="inlineStr">
        <is>
          <t>Inicial</t>
        </is>
      </c>
      <c r="M110" s="54" t="inlineStr">
        <is>
          <t>S</t>
        </is>
      </c>
      <c r="N110" s="54" t="inlineStr">
        <is>
          <t>N</t>
        </is>
      </c>
      <c r="O110" s="54" t="inlineStr">
        <is>
          <t>N/A</t>
        </is>
      </c>
      <c r="P110" s="54" t="inlineStr">
        <is>
          <t>N</t>
        </is>
      </c>
      <c r="Q110" s="54" t="inlineStr">
        <is>
          <t>N</t>
        </is>
      </c>
      <c r="R110" s="28" t="n"/>
      <c r="S110" s="28" t="n"/>
      <c r="T110" s="28" t="n"/>
      <c r="U110" s="28" t="n"/>
      <c r="V110" s="28" t="n"/>
      <c r="W110" s="28" t="n"/>
      <c r="X110" s="1" t="n"/>
    </row>
    <row r="111" ht="22" customHeight="1" s="110">
      <c r="A111" s="57" t="n">
        <v>106</v>
      </c>
      <c r="B111" s="58" t="inlineStr">
        <is>
          <t>ProMinent</t>
        </is>
      </c>
      <c r="C111" s="29" t="n"/>
      <c r="D111" s="57" t="inlineStr">
        <is>
          <t>GTB60004</t>
        </is>
      </c>
      <c r="E111" s="8" t="inlineStr">
        <is>
          <t>Juan Herrera</t>
        </is>
      </c>
      <c r="F111" s="8" t="inlineStr">
        <is>
          <t>Julia Loureiro</t>
        </is>
      </c>
      <c r="G111" s="8" t="inlineStr">
        <is>
          <t>Leticia Dantas</t>
        </is>
      </c>
      <c r="H111" s="29" t="n"/>
      <c r="I111" s="57" t="inlineStr">
        <is>
          <t>TAX</t>
        </is>
      </c>
      <c r="J111" s="57" t="n">
        <v>2025</v>
      </c>
      <c r="K111" s="57" t="inlineStr">
        <is>
          <t>S</t>
        </is>
      </c>
      <c r="L111" s="60" t="inlineStr">
        <is>
          <t>Reportado</t>
        </is>
      </c>
      <c r="M111" s="57" t="inlineStr">
        <is>
          <t>S</t>
        </is>
      </c>
      <c r="N111" s="57" t="inlineStr">
        <is>
          <t>N</t>
        </is>
      </c>
      <c r="O111" s="57" t="inlineStr">
        <is>
          <t>N/A</t>
        </is>
      </c>
      <c r="P111" s="57" t="inlineStr">
        <is>
          <t>S</t>
        </is>
      </c>
      <c r="Q111" s="57" t="inlineStr">
        <is>
          <t>N</t>
        </is>
      </c>
      <c r="R111" s="29" t="n"/>
      <c r="S111" s="29" t="n"/>
      <c r="T111" s="29" t="n"/>
      <c r="U111" s="29" t="n"/>
      <c r="V111" s="29" t="n"/>
      <c r="W111" s="29" t="n"/>
      <c r="X111" s="1" t="n"/>
    </row>
    <row r="112" ht="22" customHeight="1" s="110">
      <c r="A112" s="54" t="n">
        <v>107</v>
      </c>
      <c r="B112" s="55" t="inlineStr">
        <is>
          <t>QAT</t>
        </is>
      </c>
      <c r="C112" s="28" t="n"/>
      <c r="D112" s="54" t="inlineStr">
        <is>
          <t>GTB54310</t>
        </is>
      </c>
      <c r="E112" s="5" t="inlineStr">
        <is>
          <t>Clarissa Haidar</t>
        </is>
      </c>
      <c r="F112" s="5" t="inlineStr">
        <is>
          <t>Catarina Muniz</t>
        </is>
      </c>
      <c r="G112" s="5" t="inlineStr">
        <is>
          <t>Letícia Dantas</t>
        </is>
      </c>
      <c r="H112" s="5" t="inlineStr">
        <is>
          <t>-</t>
        </is>
      </c>
      <c r="I112" s="54" t="inlineStr">
        <is>
          <t>TAX</t>
        </is>
      </c>
      <c r="J112" s="54" t="inlineStr">
        <is>
          <t>2024 - 2025 - 2026</t>
        </is>
      </c>
      <c r="K112" s="28" t="n"/>
      <c r="L112" s="61" t="inlineStr">
        <is>
          <t>Andamento</t>
        </is>
      </c>
      <c r="M112" s="54" t="inlineStr">
        <is>
          <t>S</t>
        </is>
      </c>
      <c r="N112" s="28" t="n"/>
      <c r="O112" s="28" t="n"/>
      <c r="P112" s="54" t="inlineStr">
        <is>
          <t>N</t>
        </is>
      </c>
      <c r="Q112" s="54" t="inlineStr">
        <is>
          <t>N</t>
        </is>
      </c>
      <c r="R112" s="28" t="n"/>
      <c r="S112" s="28" t="n"/>
      <c r="T112" s="28" t="n"/>
      <c r="U112" s="28" t="n"/>
      <c r="V112" s="28" t="n"/>
      <c r="W112" s="28" t="n"/>
      <c r="X112" s="1" t="n"/>
    </row>
    <row r="113" ht="22" customHeight="1" s="110">
      <c r="A113" s="57" t="n">
        <v>108</v>
      </c>
      <c r="B113" s="58" t="inlineStr">
        <is>
          <t>QGP (Innospec)</t>
        </is>
      </c>
      <c r="C113" s="29" t="n"/>
      <c r="D113" s="57" t="inlineStr">
        <is>
          <t>GTB62808</t>
        </is>
      </c>
      <c r="E113" s="8" t="inlineStr">
        <is>
          <t>Clarissa Haidar</t>
        </is>
      </c>
      <c r="F113" s="8" t="inlineStr">
        <is>
          <t>Catarina Muniz</t>
        </is>
      </c>
      <c r="G113" s="8" t="inlineStr">
        <is>
          <t>Carlos Benfica</t>
        </is>
      </c>
      <c r="H113" s="8" t="inlineStr">
        <is>
          <t>Paulo Cavalcante</t>
        </is>
      </c>
      <c r="I113" s="57" t="inlineStr">
        <is>
          <t>TAX</t>
        </is>
      </c>
      <c r="J113" s="57" t="n">
        <v>2025</v>
      </c>
      <c r="K113" s="29" t="n"/>
      <c r="L113" s="59" t="inlineStr">
        <is>
          <t>Andamento</t>
        </is>
      </c>
      <c r="M113" s="57" t="inlineStr">
        <is>
          <t>S</t>
        </is>
      </c>
      <c r="N113" s="29" t="n"/>
      <c r="O113" s="29" t="n"/>
      <c r="P113" s="57" t="inlineStr">
        <is>
          <t>N</t>
        </is>
      </c>
      <c r="Q113" s="57" t="inlineStr">
        <is>
          <t>N</t>
        </is>
      </c>
      <c r="R113" s="29" t="n"/>
      <c r="S113" s="29" t="n"/>
      <c r="T113" s="29" t="n"/>
      <c r="U113" s="29" t="n"/>
      <c r="V113" s="29" t="n"/>
      <c r="W113" s="29" t="n"/>
      <c r="X113" s="1" t="n"/>
    </row>
    <row r="114" ht="22" customHeight="1" s="110">
      <c r="A114" s="54" t="n">
        <v>109</v>
      </c>
      <c r="B114" s="55" t="inlineStr">
        <is>
          <t>Ramax</t>
        </is>
      </c>
      <c r="C114" s="28" t="n"/>
      <c r="D114" s="54" t="inlineStr">
        <is>
          <t>GTB62939</t>
        </is>
      </c>
      <c r="E114" s="5" t="inlineStr">
        <is>
          <t>Giovanna Failache</t>
        </is>
      </c>
      <c r="F114" s="5" t="inlineStr">
        <is>
          <t>Catarina Muniz</t>
        </is>
      </c>
      <c r="G114" s="28" t="n"/>
      <c r="H114" s="5" t="inlineStr">
        <is>
          <t>Paulo Cavalcante</t>
        </is>
      </c>
      <c r="I114" s="54" t="inlineStr">
        <is>
          <t>TAX</t>
        </is>
      </c>
      <c r="J114" s="54" t="inlineStr">
        <is>
          <t>2024 - 2025</t>
        </is>
      </c>
      <c r="K114" s="54" t="inlineStr">
        <is>
          <t>S</t>
        </is>
      </c>
      <c r="L114" s="63" t="inlineStr">
        <is>
          <t>Pendência do cliente</t>
        </is>
      </c>
      <c r="M114" s="54" t="inlineStr">
        <is>
          <t>N</t>
        </is>
      </c>
      <c r="N114" s="54" t="inlineStr">
        <is>
          <t>N</t>
        </is>
      </c>
      <c r="O114" s="54" t="inlineStr">
        <is>
          <t>N</t>
        </is>
      </c>
      <c r="P114" s="54" t="inlineStr">
        <is>
          <t>S</t>
        </is>
      </c>
      <c r="Q114" s="54" t="inlineStr">
        <is>
          <t>N</t>
        </is>
      </c>
      <c r="R114" s="5" t="inlineStr">
        <is>
          <t>Pendente</t>
        </is>
      </c>
      <c r="S114" s="5" t="inlineStr">
        <is>
          <t>N/A</t>
        </is>
      </c>
      <c r="T114" s="5" t="inlineStr">
        <is>
          <t>N/A</t>
        </is>
      </c>
      <c r="U114" s="54" t="inlineStr">
        <is>
          <t>N</t>
        </is>
      </c>
      <c r="V114" s="54" t="inlineStr">
        <is>
          <t>N</t>
        </is>
      </c>
      <c r="W114" s="28" t="n"/>
      <c r="X114" s="1" t="n"/>
    </row>
    <row r="115" ht="22" customHeight="1" s="110">
      <c r="A115" s="57" t="n">
        <v>110</v>
      </c>
      <c r="B115" s="58" t="inlineStr">
        <is>
          <t>Record</t>
        </is>
      </c>
      <c r="C115" s="29" t="n"/>
      <c r="D115" s="57" t="inlineStr">
        <is>
          <t>GTB60864</t>
        </is>
      </c>
      <c r="E115" s="8" t="inlineStr">
        <is>
          <t>Jessica Barbieri</t>
        </is>
      </c>
      <c r="F115" s="8" t="inlineStr">
        <is>
          <t>Julia Loureiro</t>
        </is>
      </c>
      <c r="G115" s="29" t="n"/>
      <c r="H115" s="29" t="n"/>
      <c r="I115" s="57" t="inlineStr">
        <is>
          <t>TAX</t>
        </is>
      </c>
      <c r="J115" s="57" t="n">
        <v>2025</v>
      </c>
      <c r="K115" s="57" t="inlineStr">
        <is>
          <t>N</t>
        </is>
      </c>
      <c r="L115" s="60" t="inlineStr">
        <is>
          <t xml:space="preserve">Reportado </t>
        </is>
      </c>
      <c r="M115" s="57" t="inlineStr">
        <is>
          <t>S</t>
        </is>
      </c>
      <c r="N115" s="29" t="n"/>
      <c r="O115" s="57" t="inlineStr">
        <is>
          <t>S</t>
        </is>
      </c>
      <c r="P115" s="57" t="inlineStr">
        <is>
          <t xml:space="preserve">N </t>
        </is>
      </c>
      <c r="Q115" s="57" t="inlineStr">
        <is>
          <t>N</t>
        </is>
      </c>
      <c r="R115" s="29" t="n"/>
      <c r="S115" s="29" t="n"/>
      <c r="T115" s="29" t="n"/>
      <c r="U115" s="29" t="n"/>
      <c r="V115" s="29" t="n"/>
      <c r="W115" s="29" t="n"/>
      <c r="X115" s="1" t="n"/>
    </row>
    <row r="116" ht="22" customHeight="1" s="110">
      <c r="A116" s="54" t="n">
        <v>111</v>
      </c>
      <c r="B116" s="55" t="inlineStr">
        <is>
          <t>Record Entretenimento</t>
        </is>
      </c>
      <c r="C116" s="28" t="n"/>
      <c r="D116" s="54" t="inlineStr">
        <is>
          <t>GTB54312</t>
        </is>
      </c>
      <c r="E116" s="5" t="inlineStr">
        <is>
          <t>Clarissa Haidar</t>
        </is>
      </c>
      <c r="F116" s="5" t="inlineStr">
        <is>
          <t>Julia Loureiro</t>
        </is>
      </c>
      <c r="G116" s="5" t="inlineStr">
        <is>
          <t>Analis Rossi</t>
        </is>
      </c>
      <c r="H116" s="5" t="inlineStr">
        <is>
          <t>-</t>
        </is>
      </c>
      <c r="I116" s="54" t="inlineStr">
        <is>
          <t>TAX</t>
        </is>
      </c>
      <c r="J116" s="54" t="inlineStr">
        <is>
          <t>2023 - 2024 - 2025 - 2026</t>
        </is>
      </c>
      <c r="K116" s="28" t="n"/>
      <c r="L116" s="61" t="inlineStr">
        <is>
          <t>Andamento</t>
        </is>
      </c>
      <c r="M116" s="54" t="inlineStr">
        <is>
          <t>S</t>
        </is>
      </c>
      <c r="N116" s="28" t="n"/>
      <c r="O116" s="28" t="n"/>
      <c r="P116" s="54" t="inlineStr">
        <is>
          <t>S</t>
        </is>
      </c>
      <c r="Q116" s="54" t="inlineStr">
        <is>
          <t>N</t>
        </is>
      </c>
      <c r="R116" s="28" t="n"/>
      <c r="S116" s="28" t="n"/>
      <c r="T116" s="28" t="n"/>
      <c r="U116" s="28" t="n"/>
      <c r="V116" s="28" t="n"/>
      <c r="W116" s="28" t="n"/>
      <c r="X116" s="1" t="n"/>
    </row>
    <row r="117" ht="22" customHeight="1" s="110">
      <c r="A117" s="57" t="n">
        <v>112</v>
      </c>
      <c r="B117" s="58" t="inlineStr">
        <is>
          <t>Sabis</t>
        </is>
      </c>
      <c r="C117" s="29" t="n"/>
      <c r="D117" s="57" t="inlineStr">
        <is>
          <t>GTB62542</t>
        </is>
      </c>
      <c r="E117" s="8" t="inlineStr">
        <is>
          <t>Clarissa Haidar</t>
        </is>
      </c>
      <c r="F117" s="8" t="inlineStr">
        <is>
          <t>Catarina Muniz</t>
        </is>
      </c>
      <c r="G117" s="8" t="inlineStr">
        <is>
          <t>Leticia Dantas</t>
        </is>
      </c>
      <c r="H117" s="29" t="n"/>
      <c r="I117" s="57" t="inlineStr">
        <is>
          <t>TAX</t>
        </is>
      </c>
      <c r="J117" s="57" t="inlineStr">
        <is>
          <t>2022 - 2023 - 2024 - 2025 - 2026</t>
        </is>
      </c>
      <c r="K117" s="29" t="n"/>
      <c r="L117" s="59" t="inlineStr">
        <is>
          <t>Andamento</t>
        </is>
      </c>
      <c r="M117" s="57" t="inlineStr">
        <is>
          <t>S</t>
        </is>
      </c>
      <c r="N117" s="29" t="n"/>
      <c r="O117" s="29" t="n"/>
      <c r="P117" s="29" t="n"/>
      <c r="Q117" s="29" t="n"/>
      <c r="R117" s="29" t="n"/>
      <c r="S117" s="29" t="n"/>
      <c r="T117" s="29" t="n"/>
      <c r="U117" s="29" t="n"/>
      <c r="V117" s="29" t="n"/>
      <c r="W117" s="29" t="n"/>
      <c r="X117" s="1" t="n"/>
    </row>
    <row r="118" ht="22" customHeight="1" s="110">
      <c r="A118" s="54" t="n">
        <v>113</v>
      </c>
      <c r="B118" s="55" t="inlineStr">
        <is>
          <t>SAF-HOLLAND DO BRASIL INDUSTRIA E PRODUCAO DE EIXOS E EQUIPAMENTOS PARA REBOQUES, SEMI-REBOQUES E CAMINHOES LTDA</t>
        </is>
      </c>
      <c r="C118" s="28" t="n"/>
      <c r="D118" s="54" t="inlineStr">
        <is>
          <t>GTB52224</t>
        </is>
      </c>
      <c r="E118" s="5" t="inlineStr">
        <is>
          <t>Mauricio Daboín</t>
        </is>
      </c>
      <c r="F118" s="5" t="inlineStr">
        <is>
          <t>Catarina Muniz</t>
        </is>
      </c>
      <c r="G118" s="5" t="inlineStr">
        <is>
          <t>Giovanna Caracho</t>
        </is>
      </c>
      <c r="H118" s="28" t="n"/>
      <c r="I118" s="54" t="inlineStr">
        <is>
          <t>TAX</t>
        </is>
      </c>
      <c r="J118" s="54" t="inlineStr">
        <is>
          <t>2024 - 2025 - 2026</t>
        </is>
      </c>
      <c r="K118" s="54" t="inlineStr">
        <is>
          <t>S</t>
        </is>
      </c>
      <c r="L118" s="56" t="inlineStr">
        <is>
          <t>Reportado</t>
        </is>
      </c>
      <c r="M118" s="54" t="inlineStr">
        <is>
          <t>S</t>
        </is>
      </c>
      <c r="N118" s="54" t="inlineStr">
        <is>
          <t>S</t>
        </is>
      </c>
      <c r="O118" s="54" t="inlineStr">
        <is>
          <t>S</t>
        </is>
      </c>
      <c r="P118" s="54" t="inlineStr">
        <is>
          <t>N</t>
        </is>
      </c>
      <c r="Q118" s="54" t="inlineStr">
        <is>
          <t>N</t>
        </is>
      </c>
      <c r="R118" s="5" t="inlineStr">
        <is>
          <t>N/A</t>
        </is>
      </c>
      <c r="S118" s="5" t="inlineStr">
        <is>
          <t>N/A</t>
        </is>
      </c>
      <c r="T118" s="5" t="inlineStr">
        <is>
          <t>N/A</t>
        </is>
      </c>
      <c r="U118" s="28" t="n"/>
      <c r="V118" s="28" t="n"/>
      <c r="W118" s="28" t="n"/>
      <c r="X118" s="1" t="n"/>
    </row>
    <row r="119" ht="22" customHeight="1" s="110">
      <c r="A119" s="57" t="n">
        <v>113</v>
      </c>
      <c r="B119" s="58" t="inlineStr">
        <is>
          <t>SAGRES AGENCIAMENTOS MARITIMOS LTDA</t>
        </is>
      </c>
      <c r="C119" s="57" t="n">
        <v>3</v>
      </c>
      <c r="D119" s="57" t="inlineStr">
        <is>
          <t>GTB60091</t>
        </is>
      </c>
      <c r="E119" s="8" t="inlineStr">
        <is>
          <t>Jessica Barbieri</t>
        </is>
      </c>
      <c r="F119" s="29" t="n"/>
      <c r="G119" s="8" t="inlineStr">
        <is>
          <t>Carlos Benfica</t>
        </is>
      </c>
      <c r="H119" s="8" t="inlineStr">
        <is>
          <t>Eduardo Campos</t>
        </is>
      </c>
      <c r="I119" s="57" t="inlineStr">
        <is>
          <t>TAX</t>
        </is>
      </c>
      <c r="J119" s="57" t="n">
        <v>2025</v>
      </c>
      <c r="K119" s="57" t="inlineStr">
        <is>
          <t>N</t>
        </is>
      </c>
      <c r="L119" s="60" t="inlineStr">
        <is>
          <t xml:space="preserve">Reportado </t>
        </is>
      </c>
      <c r="M119" s="57" t="inlineStr">
        <is>
          <t>S</t>
        </is>
      </c>
      <c r="N119" s="29" t="n"/>
      <c r="O119" s="29" t="n"/>
      <c r="P119" s="57" t="inlineStr">
        <is>
          <t>N</t>
        </is>
      </c>
      <c r="Q119" s="57" t="inlineStr">
        <is>
          <t>N</t>
        </is>
      </c>
      <c r="R119" s="29" t="n"/>
      <c r="S119" s="29" t="n"/>
      <c r="T119" s="29" t="n"/>
      <c r="U119" s="29" t="n"/>
      <c r="V119" s="29" t="n"/>
      <c r="W119" s="29" t="n"/>
      <c r="X119" s="1" t="n"/>
    </row>
    <row r="120" ht="22" customHeight="1" s="110">
      <c r="A120" s="54" t="n">
        <v>114</v>
      </c>
      <c r="B120" s="55" t="inlineStr">
        <is>
          <t xml:space="preserve">Saint Gobain </t>
        </is>
      </c>
      <c r="C120" s="54" t="n">
        <v>5</v>
      </c>
      <c r="D120" s="54" t="inlineStr">
        <is>
          <t>GTB62721</t>
        </is>
      </c>
      <c r="E120" s="5" t="inlineStr">
        <is>
          <t>Giovanna Failache</t>
        </is>
      </c>
      <c r="F120" s="5" t="inlineStr">
        <is>
          <t>Catarina Muniz</t>
        </is>
      </c>
      <c r="G120" s="5" t="inlineStr">
        <is>
          <t>Analis Rossi</t>
        </is>
      </c>
      <c r="H120" s="5" t="inlineStr">
        <is>
          <t>Eduardo Campos</t>
        </is>
      </c>
      <c r="I120" s="54" t="inlineStr">
        <is>
          <t>TAX</t>
        </is>
      </c>
      <c r="J120" s="54" t="n">
        <v>2025</v>
      </c>
      <c r="K120" s="54" t="inlineStr">
        <is>
          <t>S</t>
        </is>
      </c>
      <c r="L120" s="63" t="inlineStr">
        <is>
          <t>Inicial</t>
        </is>
      </c>
      <c r="M120" s="54" t="inlineStr">
        <is>
          <t>S</t>
        </is>
      </c>
      <c r="N120" s="54" t="inlineStr">
        <is>
          <t>N</t>
        </is>
      </c>
      <c r="O120" s="54" t="inlineStr">
        <is>
          <t>N</t>
        </is>
      </c>
      <c r="P120" s="54" t="inlineStr">
        <is>
          <t>S</t>
        </is>
      </c>
      <c r="Q120" s="54" t="inlineStr">
        <is>
          <t>N</t>
        </is>
      </c>
      <c r="R120" s="5" t="inlineStr">
        <is>
          <t>Não iniciado</t>
        </is>
      </c>
      <c r="S120" s="28" t="n"/>
      <c r="T120" s="5" t="inlineStr">
        <is>
          <t>N/A</t>
        </is>
      </c>
      <c r="U120" s="28" t="n"/>
      <c r="V120" s="28" t="n"/>
      <c r="W120" s="28" t="n"/>
      <c r="X120" s="1" t="n"/>
    </row>
    <row r="121" ht="22" customHeight="1" s="110">
      <c r="A121" s="57" t="n">
        <v>115</v>
      </c>
      <c r="B121" s="58" t="inlineStr">
        <is>
          <t>Saint Gobain  (ISOVER)</t>
        </is>
      </c>
      <c r="C121" s="29" t="n"/>
      <c r="D121" s="57" t="inlineStr">
        <is>
          <t>GTB64051</t>
        </is>
      </c>
      <c r="E121" s="8" t="inlineStr">
        <is>
          <t>Giovanna Failache</t>
        </is>
      </c>
      <c r="F121" s="29" t="n"/>
      <c r="G121" s="29" t="n"/>
      <c r="H121" s="29" t="n"/>
      <c r="I121" s="57" t="inlineStr">
        <is>
          <t>TAX</t>
        </is>
      </c>
      <c r="J121" s="57" t="n">
        <v>2026</v>
      </c>
      <c r="K121" s="57" t="inlineStr">
        <is>
          <t>S</t>
        </is>
      </c>
      <c r="L121" s="62" t="inlineStr">
        <is>
          <t>Inicial</t>
        </is>
      </c>
      <c r="M121" s="57" t="inlineStr">
        <is>
          <t>N/A</t>
        </is>
      </c>
      <c r="N121" s="57" t="inlineStr">
        <is>
          <t>N</t>
        </is>
      </c>
      <c r="O121" s="57" t="inlineStr">
        <is>
          <t>N</t>
        </is>
      </c>
      <c r="P121" s="57" t="inlineStr">
        <is>
          <t>N</t>
        </is>
      </c>
      <c r="Q121" s="57" t="inlineStr">
        <is>
          <t>N</t>
        </is>
      </c>
      <c r="R121" s="8" t="inlineStr">
        <is>
          <t>N/A</t>
        </is>
      </c>
      <c r="S121" s="65" t="n">
        <v>46203</v>
      </c>
      <c r="T121" s="8" t="inlineStr">
        <is>
          <t>N/A</t>
        </is>
      </c>
      <c r="U121" s="57" t="inlineStr">
        <is>
          <t>N</t>
        </is>
      </c>
      <c r="V121" s="57" t="inlineStr">
        <is>
          <t>N</t>
        </is>
      </c>
      <c r="W121" s="29" t="n"/>
      <c r="X121" s="1" t="n"/>
    </row>
    <row r="122" ht="22" customHeight="1" s="110">
      <c r="A122" s="54" t="n">
        <v>116</v>
      </c>
      <c r="B122" s="55" t="inlineStr">
        <is>
          <t>Schaefer Yachts</t>
        </is>
      </c>
      <c r="C122" s="28" t="n"/>
      <c r="D122" s="54" t="inlineStr">
        <is>
          <t>GTB63025</t>
        </is>
      </c>
      <c r="E122" s="5" t="inlineStr">
        <is>
          <t>Juan Herrera</t>
        </is>
      </c>
      <c r="F122" s="28" t="n"/>
      <c r="G122" s="28" t="n"/>
      <c r="H122" s="5" t="inlineStr">
        <is>
          <t>Bruna Vidal</t>
        </is>
      </c>
      <c r="I122" s="54" t="inlineStr">
        <is>
          <t>TAX</t>
        </is>
      </c>
      <c r="J122" s="54" t="n">
        <v>2025</v>
      </c>
      <c r="K122" s="54" t="inlineStr">
        <is>
          <t>S</t>
        </is>
      </c>
      <c r="L122" s="56" t="inlineStr">
        <is>
          <t>Reportado</t>
        </is>
      </c>
      <c r="M122" s="54" t="inlineStr">
        <is>
          <t>S</t>
        </is>
      </c>
      <c r="N122" s="54" t="inlineStr">
        <is>
          <t>N</t>
        </is>
      </c>
      <c r="O122" s="54" t="inlineStr">
        <is>
          <t>N/A</t>
        </is>
      </c>
      <c r="P122" s="54" t="inlineStr">
        <is>
          <t>S</t>
        </is>
      </c>
      <c r="Q122" s="54" t="inlineStr">
        <is>
          <t>S</t>
        </is>
      </c>
      <c r="R122" s="28" t="n"/>
      <c r="S122" s="28" t="n"/>
      <c r="T122" s="28" t="n"/>
      <c r="U122" s="28" t="n"/>
      <c r="V122" s="28" t="n"/>
      <c r="W122" s="28" t="n"/>
      <c r="X122" s="1" t="n"/>
    </row>
    <row r="123" ht="22" customHeight="1" s="110">
      <c r="A123" s="57" t="n">
        <v>117</v>
      </c>
      <c r="B123" s="58" t="inlineStr">
        <is>
          <t>Seara</t>
        </is>
      </c>
      <c r="C123" s="29" t="n"/>
      <c r="D123" s="57" t="inlineStr">
        <is>
          <t>GTB63829</t>
        </is>
      </c>
      <c r="E123" s="8" t="inlineStr">
        <is>
          <t>Clarissa Haidar</t>
        </is>
      </c>
      <c r="F123" s="8" t="inlineStr">
        <is>
          <t>Catarina Muniz</t>
        </is>
      </c>
      <c r="G123" s="8" t="inlineStr">
        <is>
          <t>Carlos Benfica</t>
        </is>
      </c>
      <c r="H123" s="8" t="inlineStr">
        <is>
          <t>-</t>
        </is>
      </c>
      <c r="I123" s="57" t="inlineStr">
        <is>
          <t>TAX</t>
        </is>
      </c>
      <c r="J123" s="57" t="n">
        <v>2025</v>
      </c>
      <c r="K123" s="29" t="n"/>
      <c r="L123" s="59" t="inlineStr">
        <is>
          <t>Andamento</t>
        </is>
      </c>
      <c r="M123" s="57" t="inlineStr">
        <is>
          <t>S</t>
        </is>
      </c>
      <c r="N123" s="29" t="n"/>
      <c r="O123" s="29" t="n"/>
      <c r="P123" s="57" t="inlineStr">
        <is>
          <t>S</t>
        </is>
      </c>
      <c r="Q123" s="57" t="inlineStr">
        <is>
          <t>N</t>
        </is>
      </c>
      <c r="R123" s="29" t="n"/>
      <c r="S123" s="29" t="n"/>
      <c r="T123" s="29" t="n"/>
      <c r="U123" s="29" t="n"/>
      <c r="V123" s="29" t="n"/>
      <c r="W123" s="29" t="n"/>
      <c r="X123" s="1" t="n"/>
    </row>
    <row r="124" ht="22" customHeight="1" s="110">
      <c r="A124" s="54" t="n">
        <v>118</v>
      </c>
      <c r="B124" s="55" t="inlineStr">
        <is>
          <t>Sofarsolar</t>
        </is>
      </c>
      <c r="C124" s="28" t="n"/>
      <c r="D124" s="54" t="inlineStr">
        <is>
          <t>GTB55128</t>
        </is>
      </c>
      <c r="E124" s="5" t="inlineStr">
        <is>
          <t>Juan Herrera</t>
        </is>
      </c>
      <c r="F124" s="28" t="n"/>
      <c r="G124" s="5" t="inlineStr">
        <is>
          <t>Carlos Benfica</t>
        </is>
      </c>
      <c r="H124" s="28" t="n"/>
      <c r="I124" s="54" t="inlineStr">
        <is>
          <t>TAX</t>
        </is>
      </c>
      <c r="J124" s="54" t="n">
        <v>2025</v>
      </c>
      <c r="K124" s="54" t="inlineStr">
        <is>
          <t>S</t>
        </is>
      </c>
      <c r="L124" s="56" t="inlineStr">
        <is>
          <t>Reportado</t>
        </is>
      </c>
      <c r="M124" s="54" t="inlineStr">
        <is>
          <t>S</t>
        </is>
      </c>
      <c r="N124" s="54" t="inlineStr">
        <is>
          <t>N/A</t>
        </is>
      </c>
      <c r="O124" s="54" t="inlineStr">
        <is>
          <t>N</t>
        </is>
      </c>
      <c r="P124" s="54" t="inlineStr">
        <is>
          <t>N</t>
        </is>
      </c>
      <c r="Q124" s="54" t="inlineStr">
        <is>
          <t>N</t>
        </is>
      </c>
      <c r="R124" s="28" t="n"/>
      <c r="S124" s="28" t="n"/>
      <c r="T124" s="28" t="n"/>
      <c r="U124" s="28" t="n"/>
      <c r="V124" s="28" t="n"/>
      <c r="W124" s="28" t="n"/>
      <c r="X124" s="1" t="n"/>
    </row>
    <row r="125" ht="22" customHeight="1" s="110">
      <c r="A125" s="57" t="n">
        <v>119</v>
      </c>
      <c r="B125" s="58" t="inlineStr">
        <is>
          <t>Soft Construct</t>
        </is>
      </c>
      <c r="C125" s="29" t="n"/>
      <c r="D125" s="57" t="inlineStr">
        <is>
          <t>GTB64149</t>
        </is>
      </c>
      <c r="E125" s="8" t="inlineStr">
        <is>
          <t>Giovanna Failache</t>
        </is>
      </c>
      <c r="F125" s="29" t="n"/>
      <c r="G125" s="8" t="inlineStr">
        <is>
          <t>Letícia Dantas</t>
        </is>
      </c>
      <c r="H125" s="29" t="n"/>
      <c r="I125" s="57" t="inlineStr">
        <is>
          <t>TAX</t>
        </is>
      </c>
      <c r="J125" s="57" t="n">
        <v>2025</v>
      </c>
      <c r="K125" s="57" t="inlineStr">
        <is>
          <t>S</t>
        </is>
      </c>
      <c r="L125" s="62" t="inlineStr">
        <is>
          <t>Inicial</t>
        </is>
      </c>
      <c r="M125" s="57" t="inlineStr">
        <is>
          <t>S</t>
        </is>
      </c>
      <c r="N125" s="57" t="inlineStr">
        <is>
          <t>N/A</t>
        </is>
      </c>
      <c r="O125" s="57" t="inlineStr">
        <is>
          <t>N</t>
        </is>
      </c>
      <c r="P125" s="57" t="inlineStr">
        <is>
          <t>N</t>
        </is>
      </c>
      <c r="Q125" s="57" t="inlineStr">
        <is>
          <t>N</t>
        </is>
      </c>
      <c r="R125" s="8" t="inlineStr">
        <is>
          <t>N/A</t>
        </is>
      </c>
      <c r="S125" s="8" t="inlineStr">
        <is>
          <t>N/A</t>
        </is>
      </c>
      <c r="T125" s="8" t="inlineStr">
        <is>
          <t>N/A</t>
        </is>
      </c>
      <c r="U125" s="57" t="inlineStr">
        <is>
          <t>N/A</t>
        </is>
      </c>
      <c r="V125" s="57" t="inlineStr">
        <is>
          <t>N/A</t>
        </is>
      </c>
      <c r="W125" s="29" t="n"/>
      <c r="X125" s="1" t="n"/>
    </row>
    <row r="126" ht="22" customHeight="1" s="110">
      <c r="A126" s="54" t="n">
        <v>120</v>
      </c>
      <c r="B126" s="55" t="inlineStr">
        <is>
          <t>Southco</t>
        </is>
      </c>
      <c r="C126" s="28" t="n"/>
      <c r="D126" s="54" t="inlineStr">
        <is>
          <t>GTB62452</t>
        </is>
      </c>
      <c r="E126" s="5" t="inlineStr">
        <is>
          <t>Juan Herrera</t>
        </is>
      </c>
      <c r="F126" s="5" t="inlineStr">
        <is>
          <t>Julia Loureiro</t>
        </is>
      </c>
      <c r="G126" s="5" t="inlineStr">
        <is>
          <t>Letícia Dantas</t>
        </is>
      </c>
      <c r="H126" s="28" t="n"/>
      <c r="I126" s="54" t="inlineStr">
        <is>
          <t>TAX</t>
        </is>
      </c>
      <c r="J126" s="54" t="n">
        <v>2025</v>
      </c>
      <c r="K126" s="54" t="inlineStr">
        <is>
          <t>S</t>
        </is>
      </c>
      <c r="L126" s="56" t="inlineStr">
        <is>
          <t>Reportado</t>
        </is>
      </c>
      <c r="M126" s="54" t="inlineStr">
        <is>
          <t>S</t>
        </is>
      </c>
      <c r="N126" s="54" t="inlineStr">
        <is>
          <t>N</t>
        </is>
      </c>
      <c r="O126" s="54" t="inlineStr">
        <is>
          <t>N/A</t>
        </is>
      </c>
      <c r="P126" s="54" t="inlineStr">
        <is>
          <t>S</t>
        </is>
      </c>
      <c r="Q126" s="54" t="inlineStr">
        <is>
          <t>N</t>
        </is>
      </c>
      <c r="R126" s="28" t="n"/>
      <c r="S126" s="28" t="n"/>
      <c r="T126" s="28" t="n"/>
      <c r="U126" s="28" t="n"/>
      <c r="V126" s="28" t="n"/>
      <c r="W126" s="28" t="n"/>
      <c r="X126" s="1" t="n"/>
    </row>
    <row r="127" ht="22" customHeight="1" s="110">
      <c r="A127" s="57" t="n">
        <v>121</v>
      </c>
      <c r="B127" s="58" t="inlineStr">
        <is>
          <t>Stanley Angstrom-TP2025</t>
        </is>
      </c>
      <c r="C127" s="29" t="n"/>
      <c r="D127" s="57" t="inlineStr">
        <is>
          <t>GTB56431</t>
        </is>
      </c>
      <c r="E127" s="8" t="inlineStr">
        <is>
          <t>Juan Herrera</t>
        </is>
      </c>
      <c r="F127" s="29" t="n"/>
      <c r="G127" s="29" t="n"/>
      <c r="H127" s="8" t="inlineStr">
        <is>
          <t>Bruna Vidal</t>
        </is>
      </c>
      <c r="I127" s="57" t="inlineStr">
        <is>
          <t>TAX</t>
        </is>
      </c>
      <c r="J127" s="57" t="n">
        <v>2025</v>
      </c>
      <c r="K127" s="57" t="inlineStr">
        <is>
          <t>S</t>
        </is>
      </c>
      <c r="L127" s="60" t="inlineStr">
        <is>
          <t>Reportado</t>
        </is>
      </c>
      <c r="M127" s="57" t="inlineStr">
        <is>
          <t>S</t>
        </is>
      </c>
      <c r="N127" s="57" t="inlineStr">
        <is>
          <t>N</t>
        </is>
      </c>
      <c r="O127" s="57" t="inlineStr">
        <is>
          <t>N</t>
        </is>
      </c>
      <c r="P127" s="57" t="inlineStr">
        <is>
          <t>N</t>
        </is>
      </c>
      <c r="Q127" s="57" t="inlineStr">
        <is>
          <t>N</t>
        </is>
      </c>
      <c r="R127" s="8" t="inlineStr">
        <is>
          <t>N/A</t>
        </is>
      </c>
      <c r="S127" s="29" t="n"/>
      <c r="T127" s="8" t="inlineStr">
        <is>
          <t>N/A</t>
        </is>
      </c>
      <c r="U127" s="29" t="n"/>
      <c r="V127" s="29" t="n"/>
      <c r="W127" s="29" t="n"/>
      <c r="X127" s="1" t="n"/>
    </row>
    <row r="128" ht="22" customHeight="1" s="110">
      <c r="A128" s="54" t="n">
        <v>122</v>
      </c>
      <c r="B128" s="55" t="inlineStr">
        <is>
          <t>STOLLE MACHINERY DO BRASIL INDUSTRIA E COMERCIO DE EQUIPAMENTOS LTDA</t>
        </is>
      </c>
      <c r="C128" s="28" t="n"/>
      <c r="D128" s="54" t="inlineStr">
        <is>
          <t>GTB61058</t>
        </is>
      </c>
      <c r="E128" s="5" t="inlineStr">
        <is>
          <t>Jessica Barbieri</t>
        </is>
      </c>
      <c r="F128" s="28" t="n"/>
      <c r="G128" s="28" t="n"/>
      <c r="H128" s="5" t="inlineStr">
        <is>
          <t>Analis Rossi</t>
        </is>
      </c>
      <c r="I128" s="54" t="inlineStr">
        <is>
          <t>TAX</t>
        </is>
      </c>
      <c r="J128" s="54" t="n">
        <v>2025</v>
      </c>
      <c r="K128" s="54" t="inlineStr">
        <is>
          <t>S</t>
        </is>
      </c>
      <c r="L128" s="56" t="inlineStr">
        <is>
          <t>Reportado</t>
        </is>
      </c>
      <c r="M128" s="54" t="inlineStr">
        <is>
          <t>S</t>
        </is>
      </c>
      <c r="N128" s="28" t="n"/>
      <c r="O128" s="28" t="n"/>
      <c r="P128" s="54" t="inlineStr">
        <is>
          <t>S</t>
        </is>
      </c>
      <c r="Q128" s="54" t="inlineStr">
        <is>
          <t>N</t>
        </is>
      </c>
      <c r="R128" s="28" t="n"/>
      <c r="S128" s="28" t="n"/>
      <c r="T128" s="28" t="n"/>
      <c r="U128" s="28" t="n"/>
      <c r="V128" s="28" t="n"/>
      <c r="W128" s="28" t="n"/>
      <c r="X128" s="1" t="n"/>
    </row>
    <row r="129" ht="22" customHeight="1" s="110">
      <c r="A129" s="57" t="n">
        <v>123</v>
      </c>
      <c r="B129" s="58" t="inlineStr">
        <is>
          <t>Tabhi (GT US)</t>
        </is>
      </c>
      <c r="C129" s="29" t="n"/>
      <c r="D129" s="57" t="inlineStr">
        <is>
          <t>GTB44932</t>
        </is>
      </c>
      <c r="E129" s="8" t="inlineStr">
        <is>
          <t>Giovanna Failache</t>
        </is>
      </c>
      <c r="F129" s="29" t="n"/>
      <c r="G129" s="8" t="inlineStr">
        <is>
          <t>Giovanna Caracho</t>
        </is>
      </c>
      <c r="H129" s="29" t="n"/>
      <c r="I129" s="57" t="inlineStr">
        <is>
          <t>TAX</t>
        </is>
      </c>
      <c r="J129" s="57" t="n">
        <v>2026</v>
      </c>
      <c r="K129" s="57" t="inlineStr">
        <is>
          <t>S</t>
        </is>
      </c>
      <c r="L129" s="59" t="inlineStr">
        <is>
          <t>Andamento</t>
        </is>
      </c>
      <c r="M129" s="57" t="inlineStr">
        <is>
          <t>N/A</t>
        </is>
      </c>
      <c r="N129" s="57" t="inlineStr">
        <is>
          <t>N/A</t>
        </is>
      </c>
      <c r="O129" s="57" t="inlineStr">
        <is>
          <t>N/A</t>
        </is>
      </c>
      <c r="P129" s="57" t="inlineStr">
        <is>
          <t>N</t>
        </is>
      </c>
      <c r="Q129" s="57" t="inlineStr">
        <is>
          <t>N</t>
        </is>
      </c>
      <c r="R129" s="8" t="inlineStr">
        <is>
          <t>N/A</t>
        </is>
      </c>
      <c r="S129" s="8" t="inlineStr">
        <is>
          <t>N/A</t>
        </is>
      </c>
      <c r="T129" s="8" t="inlineStr">
        <is>
          <t>N/A</t>
        </is>
      </c>
      <c r="U129" s="57" t="inlineStr">
        <is>
          <t>N/A</t>
        </is>
      </c>
      <c r="V129" s="57" t="inlineStr">
        <is>
          <t>N/A</t>
        </is>
      </c>
      <c r="W129" s="20" t="inlineStr">
        <is>
          <t>Advisory</t>
        </is>
      </c>
      <c r="X129" s="1" t="n"/>
    </row>
    <row r="130" ht="22" customHeight="1" s="110">
      <c r="A130" s="54" t="n">
        <v>124</v>
      </c>
      <c r="B130" s="55" t="inlineStr">
        <is>
          <t>TESA Brasil</t>
        </is>
      </c>
      <c r="C130" s="28" t="n"/>
      <c r="D130" s="54" t="inlineStr">
        <is>
          <t>GTB52744</t>
        </is>
      </c>
      <c r="E130" s="5" t="inlineStr">
        <is>
          <t>Juan Herrera</t>
        </is>
      </c>
      <c r="F130" s="28" t="n"/>
      <c r="G130" s="5" t="inlineStr">
        <is>
          <t>Giovanna Caracho</t>
        </is>
      </c>
      <c r="H130" s="5" t="inlineStr">
        <is>
          <t>Eduardo Campos</t>
        </is>
      </c>
      <c r="I130" s="54" t="inlineStr">
        <is>
          <t>TAX</t>
        </is>
      </c>
      <c r="J130" s="54" t="n">
        <v>2025</v>
      </c>
      <c r="K130" s="54" t="inlineStr">
        <is>
          <t>S</t>
        </is>
      </c>
      <c r="L130" s="56" t="inlineStr">
        <is>
          <t>Reportado</t>
        </is>
      </c>
      <c r="M130" s="54" t="inlineStr">
        <is>
          <t>S</t>
        </is>
      </c>
      <c r="N130" s="54" t="inlineStr">
        <is>
          <t>N</t>
        </is>
      </c>
      <c r="O130" s="54" t="inlineStr">
        <is>
          <t>N/A</t>
        </is>
      </c>
      <c r="P130" s="54" t="inlineStr">
        <is>
          <t>S</t>
        </is>
      </c>
      <c r="Q130" s="54" t="inlineStr">
        <is>
          <t>N</t>
        </is>
      </c>
      <c r="R130" s="28" t="n"/>
      <c r="S130" s="28" t="n"/>
      <c r="T130" s="28" t="n"/>
      <c r="U130" s="28" t="n"/>
      <c r="V130" s="28" t="n"/>
      <c r="W130" s="28" t="n"/>
      <c r="X130" s="1" t="n"/>
    </row>
    <row r="131" ht="22" customHeight="1" s="110">
      <c r="A131" s="57" t="n">
        <v>125</v>
      </c>
      <c r="B131" s="58" t="inlineStr">
        <is>
          <t>Ticketmaster</t>
        </is>
      </c>
      <c r="C131" s="29" t="n"/>
      <c r="D131" s="57" t="inlineStr">
        <is>
          <t>GTB53924</t>
        </is>
      </c>
      <c r="E131" s="8" t="inlineStr">
        <is>
          <t>Juan Herrera</t>
        </is>
      </c>
      <c r="F131" s="29" t="n"/>
      <c r="G131" s="8" t="inlineStr">
        <is>
          <t>Letícia Dantas</t>
        </is>
      </c>
      <c r="H131" s="29" t="n"/>
      <c r="I131" s="57" t="inlineStr">
        <is>
          <t>TAX</t>
        </is>
      </c>
      <c r="J131" s="57" t="n">
        <v>2025</v>
      </c>
      <c r="K131" s="57" t="inlineStr">
        <is>
          <t>S</t>
        </is>
      </c>
      <c r="L131" s="60" t="inlineStr">
        <is>
          <t>Reportado</t>
        </is>
      </c>
      <c r="M131" s="57" t="inlineStr">
        <is>
          <t>S</t>
        </is>
      </c>
      <c r="N131" s="57" t="inlineStr">
        <is>
          <t>N/A</t>
        </is>
      </c>
      <c r="O131" s="57" t="inlineStr">
        <is>
          <t>N</t>
        </is>
      </c>
      <c r="P131" s="57" t="inlineStr">
        <is>
          <t>N</t>
        </is>
      </c>
      <c r="Q131" s="57" t="inlineStr">
        <is>
          <t>N</t>
        </is>
      </c>
      <c r="R131" s="29" t="n"/>
      <c r="S131" s="29" t="n"/>
      <c r="T131" s="29" t="n"/>
      <c r="U131" s="29" t="n"/>
      <c r="V131" s="29" t="n"/>
      <c r="W131" s="29" t="n"/>
      <c r="X131" s="1" t="n"/>
    </row>
    <row r="132" ht="22" customHeight="1" s="110">
      <c r="A132" s="54" t="n">
        <v>125</v>
      </c>
      <c r="B132" s="55" t="inlineStr">
        <is>
          <t>Tracerco</t>
        </is>
      </c>
      <c r="C132" s="28" t="n"/>
      <c r="D132" s="54" t="inlineStr">
        <is>
          <t>GTB65107</t>
        </is>
      </c>
      <c r="E132" s="5" t="inlineStr">
        <is>
          <t>Juan Herrera</t>
        </is>
      </c>
      <c r="F132" s="28" t="n"/>
      <c r="G132" s="28" t="n"/>
      <c r="H132" s="5" t="inlineStr">
        <is>
          <t>Bruna Vidal</t>
        </is>
      </c>
      <c r="I132" s="54" t="inlineStr">
        <is>
          <t>TAX</t>
        </is>
      </c>
      <c r="J132" s="54" t="n">
        <v>2025</v>
      </c>
      <c r="K132" s="54" t="inlineStr">
        <is>
          <t>S</t>
        </is>
      </c>
      <c r="L132" s="56" t="inlineStr">
        <is>
          <t>Reportado</t>
        </is>
      </c>
      <c r="M132" s="54" t="inlineStr">
        <is>
          <t>S</t>
        </is>
      </c>
      <c r="N132" s="54" t="inlineStr">
        <is>
          <t>N</t>
        </is>
      </c>
      <c r="O132" s="54" t="inlineStr">
        <is>
          <t>N/A</t>
        </is>
      </c>
      <c r="P132" s="54" t="inlineStr">
        <is>
          <t>S</t>
        </is>
      </c>
      <c r="Q132" s="54" t="inlineStr">
        <is>
          <t>N</t>
        </is>
      </c>
      <c r="R132" s="28" t="n"/>
      <c r="S132" s="28" t="n"/>
      <c r="T132" s="5" t="inlineStr">
        <is>
          <t>N/A</t>
        </is>
      </c>
      <c r="U132" s="54" t="inlineStr">
        <is>
          <t>Versão final enviada ao cliente</t>
        </is>
      </c>
      <c r="V132" s="54" t="inlineStr">
        <is>
          <t>Não precisa transmitir</t>
        </is>
      </c>
      <c r="W132" s="28" t="n"/>
      <c r="X132" s="1" t="n"/>
    </row>
    <row r="133" ht="22" customHeight="1" s="110">
      <c r="A133" s="57" t="n">
        <v>126</v>
      </c>
      <c r="B133" s="58" t="inlineStr">
        <is>
          <t>Usina Fortaleza Ind e Comércio de Massa Fina Ltda</t>
        </is>
      </c>
      <c r="C133" s="29" t="n"/>
      <c r="D133" s="57" t="inlineStr">
        <is>
          <t>GTB63818</t>
        </is>
      </c>
      <c r="E133" s="8" t="inlineStr">
        <is>
          <t>Jessica Barbieri</t>
        </is>
      </c>
      <c r="F133" s="29" t="n"/>
      <c r="G133" s="29" t="n"/>
      <c r="H133" s="8" t="inlineStr">
        <is>
          <t>Bruna Vidal</t>
        </is>
      </c>
      <c r="I133" s="57" t="inlineStr">
        <is>
          <t>TAX</t>
        </is>
      </c>
      <c r="J133" s="57" t="n">
        <v>2025</v>
      </c>
      <c r="K133" s="29" t="n"/>
      <c r="L133" s="62" t="inlineStr">
        <is>
          <t>Pendência do cliente</t>
        </is>
      </c>
      <c r="M133" s="57" t="inlineStr">
        <is>
          <t>N</t>
        </is>
      </c>
      <c r="N133" s="29" t="n"/>
      <c r="O133" s="29" t="n"/>
      <c r="P133" s="57" t="inlineStr">
        <is>
          <t>S</t>
        </is>
      </c>
      <c r="Q133" s="57" t="inlineStr">
        <is>
          <t>N</t>
        </is>
      </c>
      <c r="R133" s="29" t="n"/>
      <c r="S133" s="29" t="n"/>
      <c r="T133" s="29" t="n"/>
      <c r="U133" s="29" t="n"/>
      <c r="V133" s="29" t="n"/>
      <c r="W133" s="29" t="n"/>
      <c r="X133" s="1" t="n"/>
    </row>
    <row r="134" ht="22" customHeight="1" s="110">
      <c r="A134" s="54" t="n">
        <v>127</v>
      </c>
      <c r="B134" s="55" t="inlineStr">
        <is>
          <t>V. Group (GT UK)</t>
        </is>
      </c>
      <c r="C134" s="28" t="n"/>
      <c r="D134" s="54" t="inlineStr">
        <is>
          <t>GTB64945</t>
        </is>
      </c>
      <c r="E134" s="5" t="inlineStr">
        <is>
          <t>Giovanna Failache</t>
        </is>
      </c>
      <c r="F134" s="28" t="n"/>
      <c r="G134" s="28" t="n"/>
      <c r="H134" s="5" t="inlineStr">
        <is>
          <t>Bruna Vidal</t>
        </is>
      </c>
      <c r="I134" s="54" t="inlineStr">
        <is>
          <t>TAX</t>
        </is>
      </c>
      <c r="J134" s="54" t="n">
        <v>2025</v>
      </c>
      <c r="K134" s="54" t="inlineStr">
        <is>
          <t>S</t>
        </is>
      </c>
      <c r="L134" s="56" t="inlineStr">
        <is>
          <t>Reportado</t>
        </is>
      </c>
      <c r="M134" s="54" t="inlineStr">
        <is>
          <t>N/A</t>
        </is>
      </c>
      <c r="N134" s="54" t="inlineStr">
        <is>
          <t>N/A</t>
        </is>
      </c>
      <c r="O134" s="54" t="inlineStr">
        <is>
          <t>N/A</t>
        </is>
      </c>
      <c r="P134" s="54" t="inlineStr">
        <is>
          <t>N/A</t>
        </is>
      </c>
      <c r="Q134" s="54" t="inlineStr">
        <is>
          <t>N/A</t>
        </is>
      </c>
      <c r="R134" s="5" t="inlineStr">
        <is>
          <t>N/A</t>
        </is>
      </c>
      <c r="S134" s="5" t="inlineStr">
        <is>
          <t>N/A</t>
        </is>
      </c>
      <c r="T134" s="5" t="inlineStr">
        <is>
          <t>N/A</t>
        </is>
      </c>
      <c r="U134" s="54" t="inlineStr">
        <is>
          <t>N/A</t>
        </is>
      </c>
      <c r="V134" s="54" t="inlineStr">
        <is>
          <t>N/A</t>
        </is>
      </c>
      <c r="W134" s="24" t="inlineStr">
        <is>
          <t>Só benchmarking</t>
        </is>
      </c>
      <c r="X134" s="1" t="n"/>
    </row>
    <row r="135" ht="22" customHeight="1" s="110">
      <c r="A135" s="57" t="n">
        <v>128</v>
      </c>
      <c r="B135" s="58" t="inlineStr">
        <is>
          <t>Viking Range</t>
        </is>
      </c>
      <c r="C135" s="29" t="n"/>
      <c r="D135" s="57" t="inlineStr">
        <is>
          <t>GTB63776</t>
        </is>
      </c>
      <c r="E135" s="8" t="inlineStr">
        <is>
          <t>Clarissa Haidar</t>
        </is>
      </c>
      <c r="F135" s="8" t="inlineStr">
        <is>
          <t>Catarina Muniz</t>
        </is>
      </c>
      <c r="G135" s="8" t="inlineStr">
        <is>
          <t>Letícia Dantas</t>
        </is>
      </c>
      <c r="H135" s="8" t="inlineStr">
        <is>
          <t>-</t>
        </is>
      </c>
      <c r="I135" s="57" t="inlineStr">
        <is>
          <t>TAX</t>
        </is>
      </c>
      <c r="J135" s="57" t="n">
        <v>2025</v>
      </c>
      <c r="K135" s="29" t="n"/>
      <c r="L135" s="59" t="inlineStr">
        <is>
          <t>Andamento</t>
        </is>
      </c>
      <c r="M135" s="57" t="inlineStr">
        <is>
          <t>S</t>
        </is>
      </c>
      <c r="N135" s="29" t="n"/>
      <c r="O135" s="29" t="n"/>
      <c r="P135" s="57" t="inlineStr">
        <is>
          <t>N</t>
        </is>
      </c>
      <c r="Q135" s="57" t="inlineStr">
        <is>
          <t>N</t>
        </is>
      </c>
      <c r="R135" s="29" t="n"/>
      <c r="S135" s="29" t="n"/>
      <c r="T135" s="29" t="n"/>
      <c r="U135" s="29" t="n"/>
      <c r="V135" s="29" t="n"/>
      <c r="W135" s="29" t="n"/>
      <c r="X135" s="1" t="n"/>
    </row>
    <row r="136" ht="22" customHeight="1" s="110">
      <c r="A136" s="54" t="n">
        <v>129</v>
      </c>
      <c r="B136" s="55" t="inlineStr">
        <is>
          <t>Witzenmann (GT Alemanha)</t>
        </is>
      </c>
      <c r="C136" s="28" t="n"/>
      <c r="D136" s="28" t="n"/>
      <c r="E136" s="5" t="inlineStr">
        <is>
          <t>Clarissa Haidar</t>
        </is>
      </c>
      <c r="F136" s="5" t="inlineStr">
        <is>
          <t>-</t>
        </is>
      </c>
      <c r="G136" s="5" t="inlineStr">
        <is>
          <t>-</t>
        </is>
      </c>
      <c r="H136" s="5" t="inlineStr">
        <is>
          <t>-</t>
        </is>
      </c>
      <c r="I136" s="54" t="inlineStr">
        <is>
          <t>TAX</t>
        </is>
      </c>
      <c r="J136" s="54" t="inlineStr">
        <is>
          <t>N/A</t>
        </is>
      </c>
      <c r="K136" s="28" t="n"/>
      <c r="L136" s="61" t="inlineStr">
        <is>
          <t>Andamento</t>
        </is>
      </c>
      <c r="M136" s="54" t="inlineStr">
        <is>
          <t>N/A</t>
        </is>
      </c>
      <c r="N136" s="28" t="n"/>
      <c r="O136" s="54" t="inlineStr">
        <is>
          <t>N/A</t>
        </is>
      </c>
      <c r="P136" s="54" t="inlineStr">
        <is>
          <t>N</t>
        </is>
      </c>
      <c r="Q136" s="54" t="inlineStr">
        <is>
          <t>N</t>
        </is>
      </c>
      <c r="R136" s="5" t="inlineStr">
        <is>
          <t>N/A</t>
        </is>
      </c>
      <c r="S136" s="5" t="inlineStr">
        <is>
          <t>N/A</t>
        </is>
      </c>
      <c r="T136" s="5" t="inlineStr">
        <is>
          <t>N/A</t>
        </is>
      </c>
      <c r="U136" s="54" t="inlineStr">
        <is>
          <t>N/A</t>
        </is>
      </c>
      <c r="V136" s="54" t="inlineStr">
        <is>
          <t>N/A</t>
        </is>
      </c>
      <c r="W136" s="24" t="inlineStr">
        <is>
          <t>Advisory</t>
        </is>
      </c>
      <c r="X136" s="1" t="n"/>
    </row>
    <row r="137" ht="22" customHeight="1" s="110">
      <c r="A137" s="57" t="n">
        <v>130</v>
      </c>
      <c r="B137" s="58" t="inlineStr">
        <is>
          <t>YAMAHA MUSICAL DO BRASIL LTDA</t>
        </is>
      </c>
      <c r="C137" s="29" t="n"/>
      <c r="D137" s="57" t="inlineStr">
        <is>
          <t>GTB54836</t>
        </is>
      </c>
      <c r="E137" s="8" t="inlineStr">
        <is>
          <t>Clarissa Haidar</t>
        </is>
      </c>
      <c r="F137" s="8" t="inlineStr">
        <is>
          <t>Julia Loureiro</t>
        </is>
      </c>
      <c r="G137" s="8" t="inlineStr">
        <is>
          <t>Giovanna Caracho</t>
        </is>
      </c>
      <c r="H137" s="8" t="inlineStr">
        <is>
          <t>-</t>
        </is>
      </c>
      <c r="I137" s="57" t="inlineStr">
        <is>
          <t>TAX</t>
        </is>
      </c>
      <c r="J137" s="57" t="inlineStr">
        <is>
          <t>2024 - 2025</t>
        </is>
      </c>
      <c r="K137" s="29" t="n"/>
      <c r="L137" s="59" t="inlineStr">
        <is>
          <t>Andamento</t>
        </is>
      </c>
      <c r="M137" s="57" t="inlineStr">
        <is>
          <t>S</t>
        </is>
      </c>
      <c r="N137" s="29" t="n"/>
      <c r="O137" s="29" t="n"/>
      <c r="P137" s="57" t="inlineStr">
        <is>
          <t>S</t>
        </is>
      </c>
      <c r="Q137" s="57" t="inlineStr">
        <is>
          <t>N</t>
        </is>
      </c>
      <c r="R137" s="29" t="n"/>
      <c r="S137" s="29" t="n"/>
      <c r="T137" s="29" t="n"/>
      <c r="U137" s="29" t="n"/>
      <c r="V137" s="29" t="n"/>
      <c r="W137" s="29" t="n"/>
      <c r="X137" s="1" t="n"/>
    </row>
    <row r="138" ht="22" customHeight="1" s="110">
      <c r="A138" s="54" t="n">
        <v>131</v>
      </c>
      <c r="B138" s="55" t="inlineStr">
        <is>
          <t>Yorozu</t>
        </is>
      </c>
      <c r="C138" s="28" t="n"/>
      <c r="D138" s="54" t="inlineStr">
        <is>
          <t>GTB54295</t>
        </is>
      </c>
      <c r="E138" s="5" t="inlineStr">
        <is>
          <t>Juan Herrera</t>
        </is>
      </c>
      <c r="F138" s="28" t="n"/>
      <c r="G138" s="5" t="inlineStr">
        <is>
          <t>Letícia Dantas</t>
        </is>
      </c>
      <c r="H138" s="28" t="n"/>
      <c r="I138" s="54" t="inlineStr">
        <is>
          <t>TAX</t>
        </is>
      </c>
      <c r="J138" s="54" t="n">
        <v>2025</v>
      </c>
      <c r="K138" s="54" t="inlineStr">
        <is>
          <t>S</t>
        </is>
      </c>
      <c r="L138" s="56" t="inlineStr">
        <is>
          <t>Reportado</t>
        </is>
      </c>
      <c r="M138" s="54" t="inlineStr">
        <is>
          <t>S</t>
        </is>
      </c>
      <c r="N138" s="54" t="inlineStr">
        <is>
          <t>N</t>
        </is>
      </c>
      <c r="O138" s="54" t="inlineStr">
        <is>
          <t>N/A</t>
        </is>
      </c>
      <c r="P138" s="54" t="inlineStr">
        <is>
          <t>S</t>
        </is>
      </c>
      <c r="Q138" s="54" t="inlineStr">
        <is>
          <t>N</t>
        </is>
      </c>
      <c r="R138" s="28" t="n"/>
      <c r="S138" s="28" t="n"/>
      <c r="T138" s="28" t="n"/>
      <c r="U138" s="28" t="n"/>
      <c r="V138" s="28" t="n"/>
      <c r="W138" s="28" t="n"/>
      <c r="X138" s="1" t="n"/>
    </row>
    <row r="139" ht="22" customHeight="1" s="110">
      <c r="A139" s="57" t="n">
        <v>132</v>
      </c>
      <c r="B139" s="58" t="inlineStr">
        <is>
          <t>YPFB Energia do Brasil</t>
        </is>
      </c>
      <c r="C139" s="29" t="n"/>
      <c r="D139" s="57" t="inlineStr">
        <is>
          <t>GTB61884</t>
        </is>
      </c>
      <c r="E139" s="8" t="inlineStr">
        <is>
          <t>Juan Herrera</t>
        </is>
      </c>
      <c r="F139" s="29" t="n"/>
      <c r="G139" s="29" t="n"/>
      <c r="H139" s="8" t="inlineStr">
        <is>
          <t>Bruna Vidal</t>
        </is>
      </c>
      <c r="I139" s="57" t="inlineStr">
        <is>
          <t>TAX</t>
        </is>
      </c>
      <c r="J139" s="57" t="n">
        <v>2025</v>
      </c>
      <c r="K139" s="57" t="inlineStr">
        <is>
          <t>S</t>
        </is>
      </c>
      <c r="L139" s="60" t="inlineStr">
        <is>
          <t>Reportado</t>
        </is>
      </c>
      <c r="M139" s="57" t="inlineStr">
        <is>
          <t>S</t>
        </is>
      </c>
      <c r="N139" s="57" t="inlineStr">
        <is>
          <t>N</t>
        </is>
      </c>
      <c r="O139" s="57" t="inlineStr">
        <is>
          <t>N/A</t>
        </is>
      </c>
      <c r="P139" s="57" t="inlineStr">
        <is>
          <t>S</t>
        </is>
      </c>
      <c r="Q139" s="57" t="inlineStr">
        <is>
          <t>N</t>
        </is>
      </c>
      <c r="R139" s="8" t="inlineStr">
        <is>
          <t>Enviado ao Cliente</t>
        </is>
      </c>
      <c r="S139" s="29" t="n"/>
      <c r="T139" s="29" t="n"/>
      <c r="U139" s="29" t="n"/>
      <c r="V139" s="57" t="inlineStr">
        <is>
          <t>Não precisa transmitir</t>
        </is>
      </c>
      <c r="W139" s="29" t="n"/>
      <c r="X139" s="1" t="n"/>
    </row>
    <row r="140" ht="22" customHeight="1" s="110">
      <c r="A140" s="54" t="n">
        <v>133</v>
      </c>
      <c r="B140" s="28" t="n"/>
      <c r="C140" s="28" t="n"/>
      <c r="D140" s="28" t="n"/>
      <c r="E140" s="28" t="n"/>
      <c r="F140" s="28" t="n"/>
      <c r="G140" s="28" t="n"/>
      <c r="H140" s="28" t="n"/>
      <c r="I140" s="28" t="n"/>
      <c r="J140" s="28" t="n"/>
      <c r="K140" s="28" t="n"/>
      <c r="L140" s="28" t="n"/>
      <c r="M140" s="28" t="n"/>
      <c r="N140" s="28" t="n"/>
      <c r="O140" s="28" t="n"/>
      <c r="P140" s="28" t="n"/>
      <c r="Q140" s="28" t="n"/>
      <c r="R140" s="28" t="n"/>
      <c r="S140" s="28" t="n"/>
      <c r="T140" s="28" t="n"/>
      <c r="U140" s="28" t="n"/>
      <c r="V140" s="28" t="n"/>
      <c r="W140" s="28" t="n"/>
      <c r="X140" s="1" t="n"/>
    </row>
    <row r="141" ht="22" customHeight="1" s="110">
      <c r="A141" s="57" t="n">
        <v>134</v>
      </c>
      <c r="B141" s="29" t="n"/>
      <c r="C141" s="29" t="n"/>
      <c r="D141" s="29" t="n"/>
      <c r="E141" s="29" t="n"/>
      <c r="F141" s="29" t="n"/>
      <c r="G141" s="29" t="n"/>
      <c r="H141" s="29" t="n"/>
      <c r="I141" s="29" t="n"/>
      <c r="J141" s="29" t="n"/>
      <c r="K141" s="29" t="n"/>
      <c r="L141" s="29" t="n"/>
      <c r="M141" s="29" t="n"/>
      <c r="N141" s="29" t="n"/>
      <c r="O141" s="29" t="n"/>
      <c r="P141" s="29" t="n"/>
      <c r="Q141" s="29" t="n"/>
      <c r="R141" s="29" t="n"/>
      <c r="S141" s="29" t="n"/>
      <c r="T141" s="29" t="n"/>
      <c r="U141" s="29" t="n"/>
      <c r="V141" s="29" t="n"/>
      <c r="W141" s="29" t="n"/>
      <c r="X141" s="1" t="n"/>
    </row>
    <row r="142" ht="22" customHeight="1" s="110">
      <c r="A142" s="54" t="n">
        <v>135</v>
      </c>
      <c r="B142" s="28" t="n"/>
      <c r="C142" s="28" t="n"/>
      <c r="D142" s="28" t="n"/>
      <c r="E142" s="28" t="n"/>
      <c r="F142" s="28" t="n"/>
      <c r="G142" s="28" t="n"/>
      <c r="H142" s="28" t="n"/>
      <c r="I142" s="28" t="n"/>
      <c r="J142" s="28" t="n"/>
      <c r="K142" s="28" t="n"/>
      <c r="L142" s="28" t="n"/>
      <c r="M142" s="28" t="n"/>
      <c r="N142" s="28" t="n"/>
      <c r="O142" s="28" t="n"/>
      <c r="P142" s="28" t="n"/>
      <c r="Q142" s="28" t="n"/>
      <c r="R142" s="28" t="n"/>
      <c r="S142" s="28" t="n"/>
      <c r="T142" s="28" t="n"/>
      <c r="U142" s="28" t="n"/>
      <c r="V142" s="28" t="n"/>
      <c r="W142" s="28" t="n"/>
      <c r="X142" s="1" t="n"/>
    </row>
    <row r="143" ht="22" customHeight="1" s="110">
      <c r="A143" s="57" t="n">
        <v>136</v>
      </c>
      <c r="B143" s="29" t="n"/>
      <c r="C143" s="29" t="n"/>
      <c r="D143" s="29" t="n"/>
      <c r="E143" s="29" t="n"/>
      <c r="F143" s="29" t="n"/>
      <c r="G143" s="29" t="n"/>
      <c r="H143" s="29" t="n"/>
      <c r="I143" s="29" t="n"/>
      <c r="J143" s="29" t="n"/>
      <c r="K143" s="29" t="n"/>
      <c r="L143" s="29" t="n"/>
      <c r="M143" s="29" t="n"/>
      <c r="N143" s="29" t="n"/>
      <c r="O143" s="29" t="n"/>
      <c r="P143" s="29" t="n"/>
      <c r="Q143" s="29" t="n"/>
      <c r="R143" s="29" t="n"/>
      <c r="S143" s="29" t="n"/>
      <c r="T143" s="29" t="n"/>
      <c r="U143" s="29" t="n"/>
      <c r="V143" s="29" t="n"/>
      <c r="W143" s="29" t="n"/>
      <c r="X143" s="1" t="n"/>
    </row>
    <row r="144" ht="22" customHeight="1" s="110">
      <c r="A144" s="54" t="n">
        <v>137</v>
      </c>
      <c r="B144" s="28" t="n"/>
      <c r="C144" s="28" t="n"/>
      <c r="D144" s="28" t="n"/>
      <c r="E144" s="28" t="n"/>
      <c r="F144" s="28" t="n"/>
      <c r="G144" s="28" t="n"/>
      <c r="H144" s="28" t="n"/>
      <c r="I144" s="28" t="n"/>
      <c r="J144" s="28" t="n"/>
      <c r="K144" s="28" t="n"/>
      <c r="L144" s="28" t="n"/>
      <c r="M144" s="28" t="n"/>
      <c r="N144" s="28" t="n"/>
      <c r="O144" s="28" t="n"/>
      <c r="P144" s="28" t="n"/>
      <c r="Q144" s="28" t="n"/>
      <c r="R144" s="28" t="n"/>
      <c r="S144" s="28" t="n"/>
      <c r="T144" s="28" t="n"/>
      <c r="U144" s="28" t="n"/>
      <c r="V144" s="28" t="n"/>
      <c r="W144" s="28" t="n"/>
      <c r="X144" s="1" t="n"/>
    </row>
    <row r="145" ht="22" customHeight="1" s="110">
      <c r="A145" s="57" t="n">
        <v>138</v>
      </c>
      <c r="B145" s="29" t="n"/>
      <c r="C145" s="29" t="n"/>
      <c r="D145" s="29" t="n"/>
      <c r="E145" s="29" t="n"/>
      <c r="F145" s="29" t="n"/>
      <c r="G145" s="29" t="n"/>
      <c r="H145" s="29" t="n"/>
      <c r="I145" s="29" t="n"/>
      <c r="J145" s="29" t="n"/>
      <c r="K145" s="29" t="n"/>
      <c r="L145" s="29" t="n"/>
      <c r="M145" s="29" t="n"/>
      <c r="N145" s="29" t="n"/>
      <c r="O145" s="29" t="n"/>
      <c r="P145" s="29" t="n"/>
      <c r="Q145" s="29" t="n"/>
      <c r="R145" s="29" t="n"/>
      <c r="S145" s="29" t="n"/>
      <c r="T145" s="29" t="n"/>
      <c r="U145" s="29" t="n"/>
      <c r="V145" s="29" t="n"/>
      <c r="W145" s="29" t="n"/>
      <c r="X145" s="1" t="n"/>
    </row>
    <row r="146" ht="22" customHeight="1" s="110">
      <c r="A146" s="54" t="n">
        <v>139</v>
      </c>
      <c r="B146" s="28" t="n"/>
      <c r="C146" s="28" t="n"/>
      <c r="D146" s="28" t="n"/>
      <c r="E146" s="28" t="n"/>
      <c r="F146" s="28" t="n"/>
      <c r="G146" s="28" t="n"/>
      <c r="H146" s="28" t="n"/>
      <c r="I146" s="28" t="n"/>
      <c r="J146" s="28" t="n"/>
      <c r="K146" s="28" t="n"/>
      <c r="L146" s="28" t="n"/>
      <c r="M146" s="28" t="n"/>
      <c r="N146" s="28" t="n"/>
      <c r="O146" s="28" t="n"/>
      <c r="P146" s="28" t="n"/>
      <c r="Q146" s="28" t="n"/>
      <c r="R146" s="28" t="n"/>
      <c r="S146" s="28" t="n"/>
      <c r="T146" s="28" t="n"/>
      <c r="U146" s="28" t="n"/>
      <c r="V146" s="28" t="n"/>
      <c r="W146" s="28" t="n"/>
      <c r="X146" s="1" t="n"/>
    </row>
    <row r="147" ht="22" customHeight="1" s="110">
      <c r="A147" s="57" t="n">
        <v>140</v>
      </c>
      <c r="B147" s="29" t="n"/>
      <c r="C147" s="29" t="n"/>
      <c r="D147" s="29" t="n"/>
      <c r="E147" s="29" t="n"/>
      <c r="F147" s="29" t="n"/>
      <c r="G147" s="29" t="n"/>
      <c r="H147" s="29" t="n"/>
      <c r="I147" s="29" t="n"/>
      <c r="J147" s="29" t="n"/>
      <c r="K147" s="29" t="n"/>
      <c r="L147" s="29" t="n"/>
      <c r="M147" s="29" t="n"/>
      <c r="N147" s="29" t="n"/>
      <c r="O147" s="29" t="n"/>
      <c r="P147" s="29" t="n"/>
      <c r="Q147" s="29" t="n"/>
      <c r="R147" s="29" t="n"/>
      <c r="S147" s="29" t="n"/>
      <c r="T147" s="29" t="n"/>
      <c r="U147" s="29" t="n"/>
      <c r="V147" s="29" t="n"/>
      <c r="W147" s="29" t="n"/>
      <c r="X147" s="1" t="n"/>
    </row>
    <row r="148">
      <c r="A148" s="1" t="n"/>
      <c r="B148" s="1" t="n"/>
      <c r="C148" s="1" t="n"/>
      <c r="D148" s="1" t="n"/>
      <c r="E148" s="1" t="n"/>
      <c r="F148" s="1" t="n"/>
      <c r="G148" s="1" t="n"/>
      <c r="H148" s="1" t="n"/>
      <c r="I148" s="1" t="n"/>
      <c r="J148" s="1" t="n"/>
      <c r="K148" s="1" t="n"/>
      <c r="L148" s="1" t="n"/>
      <c r="M148" s="1" t="n"/>
      <c r="N148" s="1" t="n"/>
      <c r="O148" s="1" t="n"/>
      <c r="P148" s="1" t="n"/>
      <c r="Q148" s="1" t="n"/>
      <c r="R148" s="1" t="n"/>
      <c r="S148" s="1" t="n"/>
      <c r="T148" s="1" t="n"/>
      <c r="U148" s="1" t="n"/>
      <c r="V148" s="1" t="n"/>
      <c r="W148" s="1" t="n"/>
      <c r="X148" s="1" t="n"/>
    </row>
    <row r="149">
      <c r="A149" s="1" t="n"/>
      <c r="B149" s="1" t="n"/>
      <c r="C149" s="1" t="n"/>
      <c r="D149" s="1" t="n"/>
      <c r="E149" s="1" t="n"/>
      <c r="F149" s="1" t="n"/>
      <c r="G149" s="1" t="n"/>
      <c r="H149" s="1" t="n"/>
      <c r="I149" s="1" t="n"/>
      <c r="J149" s="1" t="n"/>
      <c r="K149" s="1" t="n"/>
      <c r="L149" s="1" t="n"/>
      <c r="M149" s="1" t="n"/>
      <c r="N149" s="1" t="n"/>
      <c r="O149" s="1" t="n"/>
      <c r="P149" s="1" t="n"/>
      <c r="Q149" s="1" t="n"/>
      <c r="R149" s="1" t="n"/>
      <c r="S149" s="1" t="n"/>
      <c r="T149" s="1" t="n"/>
      <c r="U149" s="1" t="n"/>
      <c r="V149" s="1" t="n"/>
      <c r="W149" s="1" t="n"/>
      <c r="X149" s="1" t="n"/>
    </row>
    <row r="150">
      <c r="A150" s="1" t="n"/>
      <c r="B150" s="1" t="n"/>
      <c r="C150" s="1" t="n"/>
      <c r="D150" s="1" t="n"/>
      <c r="E150" s="1" t="n"/>
      <c r="F150" s="1" t="n"/>
      <c r="G150" s="1" t="n"/>
      <c r="H150" s="1" t="n"/>
      <c r="I150" s="1" t="n"/>
      <c r="J150" s="1" t="n"/>
      <c r="K150" s="1" t="n"/>
      <c r="L150" s="1" t="n"/>
      <c r="M150" s="1" t="n"/>
      <c r="N150" s="1" t="n"/>
      <c r="O150" s="1" t="n"/>
      <c r="P150" s="1" t="n"/>
      <c r="Q150" s="1" t="n"/>
      <c r="R150" s="1" t="n"/>
      <c r="S150" s="1" t="n"/>
      <c r="T150" s="1" t="n"/>
      <c r="U150" s="1" t="n"/>
      <c r="V150" s="1" t="n"/>
      <c r="W150" s="1" t="n"/>
      <c r="X150" s="1" t="n"/>
    </row>
    <row r="151" ht="22" customHeight="1" s="110">
      <c r="A151" s="144" t="inlineStr">
        <is>
          <t xml:space="preserve">  👤 PROJETOS POR GERENTE (COUNTIF automático)</t>
        </is>
      </c>
      <c r="I151" s="1" t="n"/>
      <c r="J151" s="1" t="n"/>
      <c r="K151" s="1" t="n"/>
      <c r="L151" s="1" t="n"/>
      <c r="M151" s="1" t="n"/>
      <c r="N151" s="1" t="n"/>
      <c r="O151" s="1" t="n"/>
      <c r="P151" s="1" t="n"/>
      <c r="Q151" s="1" t="n"/>
      <c r="R151" s="1" t="n"/>
      <c r="S151" s="1" t="n"/>
      <c r="T151" s="1" t="n"/>
      <c r="U151" s="1" t="n"/>
      <c r="V151" s="1" t="n"/>
      <c r="W151" s="1" t="n"/>
      <c r="X151" s="1" t="n"/>
    </row>
    <row r="152" ht="20" customHeight="1" s="110">
      <c r="A152" s="49" t="inlineStr">
        <is>
          <t>Clarissa Haidar</t>
        </is>
      </c>
      <c r="B152" s="66">
        <f>COUNTIF(E6:E148,A152)</f>
        <v/>
      </c>
      <c r="C152" s="159">
        <f>COUNTIF(E6:E148,A152)&amp;" projetos"</f>
        <v/>
      </c>
      <c r="E152" s="1" t="n"/>
      <c r="F152" s="1" t="n"/>
      <c r="G152" s="1" t="n"/>
      <c r="H152" s="1" t="n"/>
      <c r="I152" s="1" t="n"/>
      <c r="J152" s="1" t="n"/>
      <c r="K152" s="1" t="n"/>
      <c r="L152" s="1" t="n"/>
      <c r="M152" s="1" t="n"/>
      <c r="N152" s="1" t="n"/>
      <c r="O152" s="1" t="n"/>
      <c r="P152" s="1" t="n"/>
      <c r="Q152" s="1" t="n"/>
      <c r="R152" s="1" t="n"/>
      <c r="S152" s="1" t="n"/>
      <c r="T152" s="1" t="n"/>
      <c r="U152" s="1" t="n"/>
      <c r="V152" s="1" t="n"/>
      <c r="W152" s="1" t="n"/>
      <c r="X152" s="1" t="n"/>
    </row>
    <row r="153" ht="20" customHeight="1" s="110">
      <c r="A153" s="52" t="inlineStr">
        <is>
          <t>Giovanna Failache</t>
        </is>
      </c>
      <c r="B153" s="67">
        <f>COUNTIF(E6:E148,A153)</f>
        <v/>
      </c>
      <c r="C153" s="156">
        <f>COUNTIF(E6:E148,A153)&amp;" projetos"</f>
        <v/>
      </c>
      <c r="E153" s="1" t="n"/>
      <c r="F153" s="1" t="n"/>
      <c r="G153" s="1" t="n"/>
      <c r="H153" s="1" t="n"/>
      <c r="I153" s="1" t="n"/>
      <c r="J153" s="1" t="n"/>
      <c r="K153" s="1" t="n"/>
      <c r="L153" s="1" t="n"/>
      <c r="M153" s="1" t="n"/>
      <c r="N153" s="1" t="n"/>
      <c r="O153" s="1" t="n"/>
      <c r="P153" s="1" t="n"/>
      <c r="Q153" s="1" t="n"/>
      <c r="R153" s="1" t="n"/>
      <c r="S153" s="1" t="n"/>
      <c r="T153" s="1" t="n"/>
      <c r="U153" s="1" t="n"/>
      <c r="V153" s="1" t="n"/>
      <c r="W153" s="1" t="n"/>
      <c r="X153" s="1" t="n"/>
    </row>
    <row r="154" ht="20" customHeight="1" s="110">
      <c r="A154" s="49" t="inlineStr">
        <is>
          <t>Jessica Barbieri</t>
        </is>
      </c>
      <c r="B154" s="66">
        <f>COUNTIF(E6:E148,A154)</f>
        <v/>
      </c>
      <c r="C154" s="159">
        <f>COUNTIF(E6:E148,A154)&amp;" projetos"</f>
        <v/>
      </c>
      <c r="E154" s="1" t="n"/>
      <c r="F154" s="1" t="n"/>
      <c r="G154" s="1" t="n"/>
      <c r="H154" s="1" t="n"/>
      <c r="I154" s="1" t="n"/>
      <c r="J154" s="1" t="n"/>
      <c r="K154" s="1" t="n"/>
      <c r="L154" s="1" t="n"/>
      <c r="M154" s="1" t="n"/>
      <c r="N154" s="1" t="n"/>
      <c r="O154" s="1" t="n"/>
      <c r="P154" s="1" t="n"/>
      <c r="Q154" s="1" t="n"/>
      <c r="R154" s="1" t="n"/>
      <c r="S154" s="1" t="n"/>
      <c r="T154" s="1" t="n"/>
      <c r="U154" s="1" t="n"/>
      <c r="V154" s="1" t="n"/>
      <c r="W154" s="1" t="n"/>
      <c r="X154" s="1" t="n"/>
    </row>
    <row r="155" ht="20" customHeight="1" s="110">
      <c r="A155" s="52" t="inlineStr">
        <is>
          <t>Juan Herrera</t>
        </is>
      </c>
      <c r="B155" s="67">
        <f>COUNTIF(E6:E148,A155)</f>
        <v/>
      </c>
      <c r="C155" s="156">
        <f>COUNTIF(E6:E148,A155)&amp;" projetos"</f>
        <v/>
      </c>
      <c r="E155" s="1" t="n"/>
      <c r="F155" s="1" t="n"/>
      <c r="G155" s="1" t="n"/>
      <c r="H155" s="1" t="n"/>
      <c r="I155" s="1" t="n"/>
      <c r="J155" s="1" t="n"/>
      <c r="K155" s="1" t="n"/>
      <c r="L155" s="1" t="n"/>
      <c r="M155" s="1" t="n"/>
      <c r="N155" s="1" t="n"/>
      <c r="O155" s="1" t="n"/>
      <c r="P155" s="1" t="n"/>
      <c r="Q155" s="1" t="n"/>
      <c r="R155" s="1" t="n"/>
      <c r="S155" s="1" t="n"/>
      <c r="T155" s="1" t="n"/>
      <c r="U155" s="1" t="n"/>
      <c r="V155" s="1" t="n"/>
      <c r="W155" s="1" t="n"/>
      <c r="X155" s="1" t="n"/>
    </row>
    <row r="156" ht="20" customHeight="1" s="110">
      <c r="A156" s="49" t="inlineStr">
        <is>
          <t>Mauricio Daboín</t>
        </is>
      </c>
      <c r="B156" s="66">
        <f>COUNTIF(E6:E148,A156)</f>
        <v/>
      </c>
      <c r="C156" s="159">
        <f>COUNTIF(E6:E148,A156)&amp;" projetos"</f>
        <v/>
      </c>
      <c r="E156" s="1" t="n"/>
      <c r="F156" s="1" t="n"/>
      <c r="G156" s="1" t="n"/>
      <c r="H156" s="1" t="n"/>
      <c r="I156" s="1" t="n"/>
      <c r="J156" s="1" t="n"/>
      <c r="K156" s="1" t="n"/>
      <c r="L156" s="1" t="n"/>
      <c r="M156" s="1" t="n"/>
      <c r="N156" s="1" t="n"/>
      <c r="O156" s="1" t="n"/>
      <c r="P156" s="1" t="n"/>
      <c r="Q156" s="1" t="n"/>
      <c r="R156" s="1" t="n"/>
      <c r="S156" s="1" t="n"/>
      <c r="T156" s="1" t="n"/>
      <c r="U156" s="1" t="n"/>
      <c r="V156" s="1" t="n"/>
      <c r="W156" s="1" t="n"/>
      <c r="X156" s="1" t="n"/>
    </row>
    <row r="157" ht="20" customHeight="1" s="110">
      <c r="A157" s="52" t="inlineStr">
        <is>
          <t>Nathália Marques</t>
        </is>
      </c>
      <c r="B157" s="67">
        <f>COUNTIF(E6:E148,A157)</f>
        <v/>
      </c>
      <c r="C157" s="156">
        <f>COUNTIF(E6:E148,A157)&amp;" projetos"</f>
        <v/>
      </c>
      <c r="E157" s="1" t="n"/>
      <c r="F157" s="1" t="n"/>
      <c r="G157" s="1" t="n"/>
      <c r="H157" s="1" t="n"/>
      <c r="I157" s="1" t="n"/>
      <c r="J157" s="1" t="n"/>
      <c r="K157" s="1" t="n"/>
      <c r="L157" s="1" t="n"/>
      <c r="M157" s="1" t="n"/>
      <c r="N157" s="1" t="n"/>
      <c r="O157" s="1" t="n"/>
      <c r="P157" s="1" t="n"/>
      <c r="Q157" s="1" t="n"/>
      <c r="R157" s="1" t="n"/>
      <c r="S157" s="1" t="n"/>
      <c r="T157" s="1" t="n"/>
      <c r="U157" s="1" t="n"/>
      <c r="V157" s="1" t="n"/>
      <c r="W157" s="1" t="n"/>
      <c r="X157" s="1" t="n"/>
    </row>
    <row r="158">
      <c r="A158" s="1" t="n"/>
      <c r="B158" s="1" t="n"/>
      <c r="C158" s="1" t="n"/>
      <c r="D158" s="1" t="n"/>
      <c r="E158" s="1" t="n"/>
      <c r="F158" s="1" t="n"/>
      <c r="G158" s="1" t="n"/>
      <c r="H158" s="1" t="n"/>
      <c r="I158" s="1" t="n"/>
      <c r="J158" s="1" t="n"/>
      <c r="K158" s="1" t="n"/>
      <c r="L158" s="1" t="n"/>
      <c r="M158" s="1" t="n"/>
      <c r="N158" s="1" t="n"/>
      <c r="O158" s="1" t="n"/>
      <c r="P158" s="1" t="n"/>
      <c r="Q158" s="1" t="n"/>
      <c r="R158" s="1" t="n"/>
      <c r="S158" s="1" t="n"/>
      <c r="T158" s="1" t="n"/>
      <c r="U158" s="1" t="n"/>
      <c r="V158" s="1" t="n"/>
      <c r="W158" s="1" t="n"/>
      <c r="X158" s="1" t="n"/>
    </row>
    <row r="159">
      <c r="A159" s="1" t="n"/>
      <c r="B159" s="1" t="n"/>
      <c r="C159" s="1" t="n"/>
      <c r="D159" s="1" t="n"/>
      <c r="E159" s="1" t="n"/>
      <c r="F159" s="1" t="n"/>
      <c r="G159" s="1" t="n"/>
      <c r="H159" s="1" t="n"/>
      <c r="I159" s="1" t="n"/>
      <c r="J159" s="1" t="n"/>
      <c r="K159" s="1" t="n"/>
      <c r="L159" s="1" t="n"/>
      <c r="M159" s="1" t="n"/>
      <c r="N159" s="1" t="n"/>
      <c r="O159" s="1" t="n"/>
      <c r="P159" s="1" t="n"/>
      <c r="Q159" s="1" t="n"/>
      <c r="R159" s="1" t="n"/>
      <c r="S159" s="1" t="n"/>
      <c r="T159" s="1" t="n"/>
      <c r="U159" s="1" t="n"/>
      <c r="V159" s="1" t="n"/>
      <c r="W159" s="1" t="n"/>
      <c r="X159" s="1" t="n"/>
    </row>
    <row r="160">
      <c r="A160" s="1" t="n"/>
      <c r="B160" s="1" t="n"/>
      <c r="C160" s="1" t="n"/>
      <c r="D160" s="1" t="n"/>
      <c r="E160" s="1" t="n"/>
      <c r="F160" s="1" t="n"/>
      <c r="G160" s="1" t="n"/>
      <c r="H160" s="1" t="n"/>
      <c r="I160" s="1" t="n"/>
      <c r="J160" s="1" t="n"/>
      <c r="K160" s="1" t="n"/>
      <c r="L160" s="1" t="n"/>
      <c r="M160" s="1" t="n"/>
      <c r="N160" s="1" t="n"/>
      <c r="O160" s="1" t="n"/>
      <c r="P160" s="1" t="n"/>
      <c r="Q160" s="1" t="n"/>
      <c r="R160" s="1" t="n"/>
      <c r="S160" s="1" t="n"/>
      <c r="T160" s="1" t="n"/>
      <c r="U160" s="1" t="n"/>
      <c r="V160" s="1" t="n"/>
      <c r="W160" s="1" t="n"/>
      <c r="X160" s="1" t="n"/>
    </row>
    <row r="161">
      <c r="A161" s="1" t="n"/>
      <c r="B161" s="1" t="n"/>
      <c r="C161" s="1" t="n"/>
      <c r="D161" s="1" t="n"/>
      <c r="E161" s="1" t="n"/>
      <c r="F161" s="1" t="n"/>
      <c r="G161" s="1" t="n"/>
      <c r="H161" s="1" t="n"/>
      <c r="I161" s="1" t="n"/>
      <c r="J161" s="1" t="n"/>
      <c r="K161" s="1" t="n"/>
      <c r="L161" s="1" t="n"/>
      <c r="M161" s="1" t="n"/>
      <c r="N161" s="1" t="n"/>
      <c r="O161" s="1" t="n"/>
      <c r="P161" s="1" t="n"/>
      <c r="Q161" s="1" t="n"/>
      <c r="R161" s="1" t="n"/>
      <c r="S161" s="1" t="n"/>
      <c r="T161" s="1" t="n"/>
      <c r="U161" s="1" t="n"/>
      <c r="V161" s="1" t="n"/>
      <c r="W161" s="1" t="n"/>
      <c r="X161" s="1" t="n"/>
    </row>
    <row r="162">
      <c r="A162" s="1" t="n"/>
      <c r="B162" s="1" t="n"/>
      <c r="C162" s="1" t="n"/>
      <c r="D162" s="1" t="n"/>
      <c r="E162" s="1" t="n"/>
      <c r="F162" s="1" t="n"/>
      <c r="G162" s="1" t="n"/>
      <c r="H162" s="1" t="n"/>
      <c r="I162" s="1" t="n"/>
      <c r="J162" s="1" t="n"/>
      <c r="K162" s="1" t="n"/>
      <c r="L162" s="1" t="n"/>
      <c r="M162" s="1" t="n"/>
      <c r="N162" s="1" t="n"/>
      <c r="O162" s="1" t="n"/>
      <c r="P162" s="1" t="n"/>
      <c r="Q162" s="1" t="n"/>
      <c r="R162" s="1" t="n"/>
      <c r="S162" s="1" t="n"/>
      <c r="T162" s="1" t="n"/>
      <c r="U162" s="1" t="n"/>
      <c r="V162" s="1" t="n"/>
      <c r="W162" s="1" t="n"/>
      <c r="X162" s="1" t="n"/>
    </row>
    <row r="163">
      <c r="A163" s="1" t="n"/>
      <c r="B163" s="1" t="n"/>
      <c r="C163" s="1" t="n"/>
      <c r="D163" s="1" t="n"/>
      <c r="E163" s="1" t="n"/>
      <c r="F163" s="1" t="n"/>
      <c r="G163" s="1" t="n"/>
      <c r="H163" s="1" t="n"/>
      <c r="I163" s="1" t="n"/>
      <c r="J163" s="1" t="n"/>
      <c r="K163" s="1" t="n"/>
      <c r="L163" s="1" t="n"/>
      <c r="M163" s="1" t="n"/>
      <c r="N163" s="1" t="n"/>
      <c r="O163" s="1" t="n"/>
      <c r="P163" s="1" t="n"/>
      <c r="Q163" s="1" t="n"/>
      <c r="R163" s="1" t="n"/>
      <c r="S163" s="1" t="n"/>
      <c r="T163" s="1" t="n"/>
      <c r="U163" s="1" t="n"/>
      <c r="V163" s="1" t="n"/>
      <c r="W163" s="1" t="n"/>
      <c r="X163" s="1" t="n"/>
    </row>
    <row r="164">
      <c r="A164" s="1" t="n"/>
      <c r="B164" s="1" t="n"/>
      <c r="C164" s="1" t="n"/>
      <c r="D164" s="1" t="n"/>
      <c r="E164" s="1" t="n"/>
      <c r="F164" s="1" t="n"/>
      <c r="G164" s="1" t="n"/>
      <c r="H164" s="1" t="n"/>
      <c r="I164" s="1" t="n"/>
      <c r="J164" s="1" t="n"/>
      <c r="K164" s="1" t="n"/>
      <c r="L164" s="1" t="n"/>
      <c r="M164" s="1" t="n"/>
      <c r="N164" s="1" t="n"/>
      <c r="O164" s="1" t="n"/>
      <c r="P164" s="1" t="n"/>
      <c r="Q164" s="1" t="n"/>
      <c r="R164" s="1" t="n"/>
      <c r="S164" s="1" t="n"/>
      <c r="T164" s="1" t="n"/>
      <c r="U164" s="1" t="n"/>
      <c r="V164" s="1" t="n"/>
      <c r="W164" s="1" t="n"/>
      <c r="X164" s="1" t="n"/>
    </row>
    <row r="165">
      <c r="A165" s="1" t="n"/>
      <c r="B165" s="1" t="n"/>
      <c r="C165" s="1" t="n"/>
      <c r="D165" s="1" t="n"/>
      <c r="E165" s="1" t="n"/>
      <c r="F165" s="1" t="n"/>
      <c r="G165" s="1" t="n"/>
      <c r="H165" s="1" t="n"/>
      <c r="I165" s="1" t="n"/>
      <c r="J165" s="1" t="n"/>
      <c r="K165" s="1" t="n"/>
      <c r="L165" s="1" t="n"/>
      <c r="M165" s="1" t="n"/>
      <c r="N165" s="1" t="n"/>
      <c r="O165" s="1" t="n"/>
      <c r="P165" s="1" t="n"/>
      <c r="Q165" s="1" t="n"/>
      <c r="R165" s="1" t="n"/>
      <c r="S165" s="1" t="n"/>
      <c r="T165" s="1" t="n"/>
      <c r="U165" s="1" t="n"/>
      <c r="V165" s="1" t="n"/>
      <c r="W165" s="1" t="n"/>
      <c r="X165" s="1" t="n"/>
    </row>
    <row r="166">
      <c r="A166" s="1" t="n"/>
      <c r="B166" s="1" t="n"/>
      <c r="C166" s="1" t="n"/>
      <c r="D166" s="1" t="n"/>
      <c r="E166" s="1" t="n"/>
      <c r="F166" s="1" t="n"/>
      <c r="G166" s="1" t="n"/>
      <c r="H166" s="1" t="n"/>
      <c r="I166" s="1" t="n"/>
      <c r="J166" s="1" t="n"/>
      <c r="K166" s="1" t="n"/>
      <c r="L166" s="1" t="n"/>
      <c r="M166" s="1" t="n"/>
      <c r="N166" s="1" t="n"/>
      <c r="O166" s="1" t="n"/>
      <c r="P166" s="1" t="n"/>
      <c r="Q166" s="1" t="n"/>
      <c r="R166" s="1" t="n"/>
      <c r="S166" s="1" t="n"/>
      <c r="T166" s="1" t="n"/>
      <c r="U166" s="1" t="n"/>
      <c r="V166" s="1" t="n"/>
      <c r="W166" s="1" t="n"/>
      <c r="X166" s="1" t="n"/>
    </row>
    <row r="167">
      <c r="A167" s="1" t="n"/>
      <c r="B167" s="1" t="n"/>
      <c r="C167" s="1" t="n"/>
      <c r="D167" s="1" t="n"/>
      <c r="E167" s="1" t="n"/>
      <c r="F167" s="1" t="n"/>
      <c r="G167" s="1" t="n"/>
      <c r="H167" s="1" t="n"/>
      <c r="I167" s="1" t="n"/>
      <c r="J167" s="1" t="n"/>
      <c r="K167" s="1" t="n"/>
      <c r="L167" s="1" t="n"/>
      <c r="M167" s="1" t="n"/>
      <c r="N167" s="1" t="n"/>
      <c r="O167" s="1" t="n"/>
      <c r="P167" s="1" t="n"/>
      <c r="Q167" s="1" t="n"/>
      <c r="R167" s="1" t="n"/>
      <c r="S167" s="1" t="n"/>
      <c r="T167" s="1" t="n"/>
      <c r="U167" s="1" t="n"/>
      <c r="V167" s="1" t="n"/>
      <c r="W167" s="1" t="n"/>
      <c r="X167" s="1" t="n"/>
    </row>
    <row r="168">
      <c r="A168" s="1" t="n"/>
      <c r="B168" s="1" t="n"/>
      <c r="C168" s="1" t="n"/>
      <c r="D168" s="1" t="n"/>
      <c r="E168" s="1" t="n"/>
      <c r="F168" s="1" t="n"/>
      <c r="G168" s="1" t="n"/>
      <c r="H168" s="1" t="n"/>
      <c r="I168" s="1" t="n"/>
      <c r="J168" s="1" t="n"/>
      <c r="K168" s="1" t="n"/>
      <c r="L168" s="1" t="n"/>
      <c r="M168" s="1" t="n"/>
      <c r="N168" s="1" t="n"/>
      <c r="O168" s="1" t="n"/>
      <c r="P168" s="1" t="n"/>
      <c r="Q168" s="1" t="n"/>
      <c r="R168" s="1" t="n"/>
      <c r="S168" s="1" t="n"/>
      <c r="T168" s="1" t="n"/>
      <c r="U168" s="1" t="n"/>
      <c r="V168" s="1" t="n"/>
      <c r="W168" s="1" t="n"/>
      <c r="X168" s="1" t="n"/>
    </row>
    <row r="169">
      <c r="A169" s="1" t="n"/>
      <c r="B169" s="1" t="n"/>
      <c r="C169" s="1" t="n"/>
      <c r="D169" s="1" t="n"/>
      <c r="E169" s="1" t="n"/>
      <c r="F169" s="1" t="n"/>
      <c r="G169" s="1" t="n"/>
      <c r="H169" s="1" t="n"/>
      <c r="I169" s="1" t="n"/>
      <c r="J169" s="1" t="n"/>
      <c r="K169" s="1" t="n"/>
      <c r="L169" s="1" t="n"/>
      <c r="M169" s="1" t="n"/>
      <c r="N169" s="1" t="n"/>
      <c r="O169" s="1" t="n"/>
      <c r="P169" s="1" t="n"/>
      <c r="Q169" s="1" t="n"/>
      <c r="R169" s="1" t="n"/>
      <c r="S169" s="1" t="n"/>
      <c r="T169" s="1" t="n"/>
      <c r="U169" s="1" t="n"/>
      <c r="V169" s="1" t="n"/>
      <c r="W169" s="1" t="n"/>
      <c r="X169" s="1" t="n"/>
    </row>
    <row r="170">
      <c r="A170" s="1" t="n"/>
      <c r="B170" s="1" t="n"/>
      <c r="C170" s="1" t="n"/>
      <c r="D170" s="1" t="n"/>
      <c r="E170" s="1" t="n"/>
      <c r="F170" s="1" t="n"/>
      <c r="G170" s="1" t="n"/>
      <c r="H170" s="1" t="n"/>
      <c r="I170" s="1" t="n"/>
      <c r="J170" s="1" t="n"/>
      <c r="K170" s="1" t="n"/>
      <c r="L170" s="1" t="n"/>
      <c r="M170" s="1" t="n"/>
      <c r="N170" s="1" t="n"/>
      <c r="O170" s="1" t="n"/>
      <c r="P170" s="1" t="n"/>
      <c r="Q170" s="1" t="n"/>
      <c r="R170" s="1" t="n"/>
      <c r="S170" s="1" t="n"/>
      <c r="T170" s="1" t="n"/>
      <c r="U170" s="1" t="n"/>
      <c r="V170" s="1" t="n"/>
      <c r="W170" s="1" t="n"/>
      <c r="X170" s="1" t="n"/>
    </row>
    <row r="171">
      <c r="A171" s="1" t="n"/>
      <c r="B171" s="1" t="n"/>
      <c r="C171" s="1" t="n"/>
      <c r="D171" s="1" t="n"/>
      <c r="E171" s="1" t="n"/>
      <c r="F171" s="1" t="n"/>
      <c r="G171" s="1" t="n"/>
      <c r="H171" s="1" t="n"/>
      <c r="I171" s="1" t="n"/>
      <c r="J171" s="1" t="n"/>
      <c r="K171" s="1" t="n"/>
      <c r="L171" s="1" t="n"/>
      <c r="M171" s="1" t="n"/>
      <c r="N171" s="1" t="n"/>
      <c r="O171" s="1" t="n"/>
      <c r="P171" s="1" t="n"/>
      <c r="Q171" s="1" t="n"/>
      <c r="R171" s="1" t="n"/>
      <c r="S171" s="1" t="n"/>
      <c r="T171" s="1" t="n"/>
      <c r="U171" s="1" t="n"/>
      <c r="V171" s="1" t="n"/>
      <c r="W171" s="1" t="n"/>
      <c r="X171" s="1" t="n"/>
    </row>
  </sheetData>
  <mergeCells count="17">
    <mergeCell ref="P4:Q4"/>
    <mergeCell ref="C153:D153"/>
    <mergeCell ref="A4:C4"/>
    <mergeCell ref="A1:W1"/>
    <mergeCell ref="C157:D157"/>
    <mergeCell ref="W4"/>
    <mergeCell ref="C152:D152"/>
    <mergeCell ref="R4:T4"/>
    <mergeCell ref="C156:D156"/>
    <mergeCell ref="L4:O4"/>
    <mergeCell ref="A151:H151"/>
    <mergeCell ref="C155:D155"/>
    <mergeCell ref="I4:K4"/>
    <mergeCell ref="D4:H4"/>
    <mergeCell ref="A2:W2"/>
    <mergeCell ref="C154:D154"/>
    <mergeCell ref="U4:V4"/>
  </mergeCells>
  <conditionalFormatting sqref="E6:E200">
    <cfRule type="expression" priority="1" dxfId="4">
      <formula>ISNUMBER(SEARCH("To Do",E6))</formula>
    </cfRule>
    <cfRule type="expression" priority="2" dxfId="3">
      <formula>ISNUMBER(SEARCH("Doing",E6))</formula>
    </cfRule>
    <cfRule type="expression" priority="3" dxfId="2">
      <formula>ISNUMBER(SEARCH("Done",E6))</formula>
    </cfRule>
    <cfRule type="expression" priority="4" dxfId="1">
      <formula>ISNUMBER(SEARCH("Waiting",E6))</formula>
    </cfRule>
  </conditionalFormatting>
  <pageMargins left="0.75" right="0.75" top="1" bottom="1" header="0.5" footer="0.5"/>
</worksheet>
</file>

<file path=xl/worksheets/sheet9.xml><?xml version="1.0" encoding="utf-8"?>
<worksheet xmlns="http://schemas.openxmlformats.org/spreadsheetml/2006/main">
  <sheetPr codeName="Planilha10">
    <tabColor rgb="FF3A6186"/>
    <outlinePr summaryBelow="1" summaryRight="1"/>
    <pageSetUpPr/>
  </sheetPr>
  <dimension ref="A1:X91"/>
  <sheetViews>
    <sheetView showGridLines="0" workbookViewId="0">
      <pane xSplit="1" ySplit="5" topLeftCell="B6" activePane="bottomRight" state="frozen"/>
      <selection pane="topRight" activeCell="A1" sqref="A1"/>
      <selection pane="bottomLeft" activeCell="A1" sqref="A1"/>
      <selection pane="bottomRight" activeCell="A1" sqref="A1:W1"/>
    </sheetView>
  </sheetViews>
  <sheetFormatPr baseColWidth="10" defaultColWidth="8.83203125" defaultRowHeight="15"/>
  <cols>
    <col width="4" customWidth="1" style="110" min="1" max="1"/>
    <col width="28" customWidth="1" style="110" min="2" max="2"/>
    <col width="10" customWidth="1" style="110" min="3" max="3"/>
    <col width="14" customWidth="1" style="110" min="4" max="4"/>
    <col width="20" customWidth="1" style="110" min="5" max="5"/>
    <col width="18" customWidth="1" style="110" min="6" max="7"/>
    <col width="15" customWidth="1" style="110" min="8" max="8"/>
    <col width="10" customWidth="1" style="110" min="9" max="10"/>
    <col width="8" customWidth="1" style="110" min="11" max="11"/>
    <col width="22" customWidth="1" style="110" min="12" max="12"/>
    <col width="10" customWidth="1" style="110" min="13" max="15"/>
    <col width="8" customWidth="1" style="110" min="16" max="17"/>
    <col width="22" customWidth="1" style="110" min="18" max="18"/>
    <col width="14" customWidth="1" style="110" min="19" max="19"/>
    <col width="22" customWidth="1" style="110" min="20" max="20"/>
    <col width="14" customWidth="1" style="110" min="21" max="22"/>
    <col width="40" customWidth="1" style="110" min="23" max="23"/>
    <col width="3" customWidth="1" style="110" min="24" max="24"/>
  </cols>
  <sheetData>
    <row r="1" ht="40" customHeight="1" s="110">
      <c r="A1" s="158" t="inlineStr">
        <is>
          <t xml:space="preserve">  📊 CONTROLE DE PROJETOS TP — FY 2026 e 2027</t>
        </is>
      </c>
      <c r="X1" s="1" t="n"/>
    </row>
    <row r="2" ht="20" customHeight="1" s="110">
      <c r="A2" s="164" t="inlineStr">
        <is>
          <t xml:space="preserve">  Status: N/A / Não iniciado / Em elaboração / Revisão Gerencial / Revisão Sócio / Enviado ao cliente / Reportado</t>
        </is>
      </c>
      <c r="X2" s="1" t="n"/>
    </row>
    <row r="3" ht="10" customHeight="1" s="110">
      <c r="A3" s="1" t="n"/>
      <c r="B3" s="1" t="n"/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  <c r="Q3" s="1" t="n"/>
      <c r="R3" s="1" t="n"/>
      <c r="S3" s="1" t="n"/>
      <c r="T3" s="1" t="n"/>
      <c r="U3" s="1" t="n"/>
      <c r="V3" s="1" t="n"/>
      <c r="W3" s="1" t="n"/>
      <c r="X3" s="1" t="n"/>
    </row>
    <row r="4" ht="14" customHeight="1" s="110">
      <c r="A4" s="157" t="inlineStr">
        <is>
          <t>IDENTIFICAÇÃO</t>
        </is>
      </c>
      <c r="D4" s="163" t="inlineStr">
        <is>
          <t>EQUIPE</t>
        </is>
      </c>
      <c r="I4" s="162" t="inlineStr">
        <is>
          <t>ESCOPO</t>
        </is>
      </c>
      <c r="L4" s="161" t="inlineStr">
        <is>
          <t>STATUS TP</t>
        </is>
      </c>
      <c r="P4" s="155" t="inlineStr">
        <is>
          <t>LOCAL FILE</t>
        </is>
      </c>
      <c r="R4" s="160" t="inlineStr">
        <is>
          <t>MASTER FILE</t>
        </is>
      </c>
      <c r="U4" s="154" t="inlineStr">
        <is>
          <t>ENVIO RFB</t>
        </is>
      </c>
      <c r="W4" s="157" t="inlineStr">
        <is>
          <t>OBSERVAÇÕES</t>
        </is>
      </c>
      <c r="X4" s="1" t="n"/>
    </row>
    <row r="5" ht="44" customHeight="1" s="110">
      <c r="A5" s="11" t="inlineStr">
        <is>
          <t>#</t>
        </is>
      </c>
      <c r="B5" s="11" t="inlineStr">
        <is>
          <t>Clientes</t>
        </is>
      </c>
      <c r="C5" s="11" t="inlineStr">
        <is>
          <t>Nº Entidades</t>
        </is>
      </c>
      <c r="D5" s="11" t="inlineStr">
        <is>
          <t>GTB</t>
        </is>
      </c>
      <c r="E5" s="11" t="inlineStr">
        <is>
          <t>Gerente</t>
        </is>
      </c>
      <c r="F5" s="11" t="inlineStr">
        <is>
          <t>Senior</t>
        </is>
      </c>
      <c r="G5" s="11" t="inlineStr">
        <is>
          <t>Assistente</t>
        </is>
      </c>
      <c r="H5" s="11" t="inlineStr">
        <is>
          <t>Trainee</t>
        </is>
      </c>
      <c r="I5" s="11" t="inlineStr">
        <is>
          <t>TAX/AUDIT</t>
        </is>
      </c>
      <c r="J5" s="11" t="inlineStr">
        <is>
          <t>Escopo
(Ano-cal.)</t>
        </is>
      </c>
      <c r="K5" s="11" t="inlineStr">
        <is>
          <t>Estudo TP</t>
        </is>
      </c>
      <c r="L5" s="11" t="inlineStr">
        <is>
          <t>Status Geral</t>
        </is>
      </c>
      <c r="M5" s="11" t="inlineStr">
        <is>
          <t>ECF
Concluído</t>
        </is>
      </c>
      <c r="N5" s="11" t="inlineStr">
        <is>
          <t>Apres.
Entregue</t>
        </is>
      </c>
      <c r="O5" s="11" t="inlineStr">
        <is>
          <t>Rel. TP
Entregue</t>
        </is>
      </c>
      <c r="P5" s="11" t="inlineStr">
        <is>
          <t>Incl. LF?</t>
        </is>
      </c>
      <c r="Q5" s="11" t="inlineStr">
        <is>
          <t>Incl. MF?</t>
        </is>
      </c>
      <c r="R5" s="11" t="inlineStr">
        <is>
          <t>Status LF</t>
        </is>
      </c>
      <c r="S5" s="11" t="inlineStr">
        <is>
          <t>Data Acordada</t>
        </is>
      </c>
      <c r="T5" s="11" t="inlineStr">
        <is>
          <t>Status MF</t>
        </is>
      </c>
      <c r="U5" s="11" t="inlineStr">
        <is>
          <t>Revisão
Final</t>
        </is>
      </c>
      <c r="V5" s="11" t="inlineStr">
        <is>
          <t>Status
Envio RFB</t>
        </is>
      </c>
      <c r="W5" s="11" t="inlineStr">
        <is>
          <t>Observações</t>
        </is>
      </c>
      <c r="X5" s="1" t="n"/>
    </row>
    <row r="6" ht="22" customHeight="1" s="110">
      <c r="A6" s="54" t="n">
        <v>1</v>
      </c>
      <c r="B6" s="55" t="inlineStr">
        <is>
          <t>Bry-Air</t>
        </is>
      </c>
      <c r="C6" s="28" t="n"/>
      <c r="D6" s="54" t="inlineStr">
        <is>
          <t>GTB55531</t>
        </is>
      </c>
      <c r="E6" s="5" t="inlineStr">
        <is>
          <t>Clarissa Haidar</t>
        </is>
      </c>
      <c r="F6" s="28" t="n"/>
      <c r="G6" s="28" t="n"/>
      <c r="H6" s="28" t="n"/>
      <c r="I6" s="54" t="inlineStr">
        <is>
          <t>TAX</t>
        </is>
      </c>
      <c r="J6" s="54" t="n">
        <v>2026</v>
      </c>
      <c r="K6" s="28" t="n"/>
      <c r="L6" s="28" t="n"/>
      <c r="M6" s="28" t="n"/>
      <c r="N6" s="28" t="n"/>
      <c r="O6" s="28" t="n"/>
      <c r="P6" s="28" t="n"/>
      <c r="Q6" s="28" t="n"/>
      <c r="R6" s="28" t="n"/>
      <c r="S6" s="28" t="n"/>
      <c r="T6" s="28" t="n"/>
      <c r="U6" s="28" t="n"/>
      <c r="V6" s="28" t="n"/>
      <c r="W6" s="28" t="n"/>
      <c r="X6" s="1" t="n"/>
    </row>
    <row r="7" ht="22" customHeight="1" s="110">
      <c r="A7" s="57" t="n">
        <v>2</v>
      </c>
      <c r="B7" s="58" t="inlineStr">
        <is>
          <t>Cinex</t>
        </is>
      </c>
      <c r="C7" s="29" t="n"/>
      <c r="D7" s="57" t="inlineStr">
        <is>
          <t>GTB55342</t>
        </is>
      </c>
      <c r="E7" s="8" t="inlineStr">
        <is>
          <t>Clarissa Haidar</t>
        </is>
      </c>
      <c r="F7" s="29" t="n"/>
      <c r="G7" s="29" t="n"/>
      <c r="H7" s="29" t="n"/>
      <c r="I7" s="57" t="inlineStr">
        <is>
          <t>TAX</t>
        </is>
      </c>
      <c r="J7" s="57" t="n">
        <v>2026</v>
      </c>
      <c r="K7" s="29" t="n"/>
      <c r="L7" s="29" t="n"/>
      <c r="M7" s="29" t="n"/>
      <c r="N7" s="29" t="n"/>
      <c r="O7" s="29" t="n"/>
      <c r="P7" s="29" t="n"/>
      <c r="Q7" s="29" t="n"/>
      <c r="R7" s="29" t="n"/>
      <c r="S7" s="29" t="n"/>
      <c r="T7" s="29" t="n"/>
      <c r="U7" s="29" t="n"/>
      <c r="V7" s="29" t="n"/>
      <c r="W7" s="29" t="n"/>
      <c r="X7" s="1" t="n"/>
    </row>
    <row r="8" ht="22" customHeight="1" s="110">
      <c r="A8" s="54" t="n">
        <v>3</v>
      </c>
      <c r="B8" s="55" t="inlineStr">
        <is>
          <t>Hayamax - Hayonik</t>
        </is>
      </c>
      <c r="C8" s="28" t="n"/>
      <c r="D8" s="54" t="inlineStr">
        <is>
          <t>GTB55370</t>
        </is>
      </c>
      <c r="E8" s="5" t="inlineStr">
        <is>
          <t>Clarissa Haidar</t>
        </is>
      </c>
      <c r="F8" s="28" t="n"/>
      <c r="G8" s="28" t="n"/>
      <c r="H8" s="28" t="n"/>
      <c r="I8" s="54" t="inlineStr">
        <is>
          <t>TAX</t>
        </is>
      </c>
      <c r="J8" s="54" t="n">
        <v>2026</v>
      </c>
      <c r="K8" s="28" t="n"/>
      <c r="L8" s="28" t="n"/>
      <c r="M8" s="28" t="n"/>
      <c r="N8" s="28" t="n"/>
      <c r="O8" s="28" t="n"/>
      <c r="P8" s="28" t="n"/>
      <c r="Q8" s="28" t="n"/>
      <c r="R8" s="28" t="n"/>
      <c r="S8" s="28" t="n"/>
      <c r="T8" s="28" t="n"/>
      <c r="U8" s="28" t="n"/>
      <c r="V8" s="28" t="n"/>
      <c r="W8" s="28" t="n"/>
      <c r="X8" s="1" t="n"/>
    </row>
    <row r="9" ht="22" customHeight="1" s="110">
      <c r="A9" s="57" t="n">
        <v>4</v>
      </c>
      <c r="B9" s="58" t="inlineStr">
        <is>
          <t>Leonardo do Brasil</t>
        </is>
      </c>
      <c r="C9" s="29" t="n"/>
      <c r="D9" s="57" t="inlineStr">
        <is>
          <t>GTB62428</t>
        </is>
      </c>
      <c r="E9" s="8" t="inlineStr">
        <is>
          <t>Nathália Marques</t>
        </is>
      </c>
      <c r="F9" s="29" t="n"/>
      <c r="G9" s="8" t="inlineStr">
        <is>
          <t>Analis Rossi</t>
        </is>
      </c>
      <c r="H9" s="8" t="inlineStr">
        <is>
          <t>Eduardo Campos</t>
        </is>
      </c>
      <c r="I9" s="57" t="inlineStr">
        <is>
          <t>TAX</t>
        </is>
      </c>
      <c r="J9" s="57" t="n">
        <v>2026</v>
      </c>
      <c r="K9" s="29" t="n"/>
      <c r="L9" s="29" t="n"/>
      <c r="M9" s="29" t="n"/>
      <c r="N9" s="29" t="n"/>
      <c r="O9" s="29" t="n"/>
      <c r="P9" s="29" t="n"/>
      <c r="Q9" s="29" t="n"/>
      <c r="R9" s="29" t="n"/>
      <c r="S9" s="29" t="n"/>
      <c r="T9" s="29" t="n"/>
      <c r="U9" s="29" t="n"/>
      <c r="V9" s="29" t="n"/>
      <c r="W9" s="29" t="n"/>
      <c r="X9" s="1" t="n"/>
    </row>
    <row r="10" ht="22" customHeight="1" s="110">
      <c r="A10" s="54" t="n">
        <v>5</v>
      </c>
      <c r="B10" s="55" t="inlineStr">
        <is>
          <t>Leonardo do Brasil</t>
        </is>
      </c>
      <c r="C10" s="28" t="n"/>
      <c r="D10" s="54" t="inlineStr">
        <is>
          <t>GTB62429</t>
        </is>
      </c>
      <c r="E10" s="5" t="inlineStr">
        <is>
          <t>Nathália Marques</t>
        </is>
      </c>
      <c r="F10" s="28" t="n"/>
      <c r="G10" s="5" t="inlineStr">
        <is>
          <t>Analis Rossi</t>
        </is>
      </c>
      <c r="H10" s="5" t="inlineStr">
        <is>
          <t>Eduardo Campos</t>
        </is>
      </c>
      <c r="I10" s="54" t="inlineStr">
        <is>
          <t>TAX</t>
        </is>
      </c>
      <c r="J10" s="54" t="n">
        <v>2027</v>
      </c>
      <c r="K10" s="28" t="n"/>
      <c r="L10" s="28" t="n"/>
      <c r="M10" s="28" t="n"/>
      <c r="N10" s="28" t="n"/>
      <c r="O10" s="28" t="n"/>
      <c r="P10" s="28" t="n"/>
      <c r="Q10" s="28" t="n"/>
      <c r="R10" s="28" t="n"/>
      <c r="S10" s="28" t="n"/>
      <c r="T10" s="28" t="n"/>
      <c r="U10" s="28" t="n"/>
      <c r="V10" s="28" t="n"/>
      <c r="W10" s="28" t="n"/>
      <c r="X10" s="1" t="n"/>
    </row>
    <row r="11" ht="22" customHeight="1" s="110">
      <c r="A11" s="57" t="n">
        <v>6</v>
      </c>
      <c r="B11" s="58" t="inlineStr">
        <is>
          <t>Mahindra</t>
        </is>
      </c>
      <c r="C11" s="29" t="n"/>
      <c r="D11" s="57" t="inlineStr">
        <is>
          <t>GTB61639</t>
        </is>
      </c>
      <c r="E11" s="8" t="inlineStr">
        <is>
          <t>Juan Herrera</t>
        </is>
      </c>
      <c r="F11" s="8" t="inlineStr">
        <is>
          <t>Catarina Muniz</t>
        </is>
      </c>
      <c r="G11" s="8" t="inlineStr">
        <is>
          <t>Leticia Dantas</t>
        </is>
      </c>
      <c r="H11" s="29" t="n"/>
      <c r="I11" s="57" t="inlineStr">
        <is>
          <t>TAX</t>
        </is>
      </c>
      <c r="J11" s="57" t="n">
        <v>2026</v>
      </c>
      <c r="K11" s="29" t="n"/>
      <c r="L11" s="29" t="n"/>
      <c r="M11" s="29" t="n"/>
      <c r="N11" s="29" t="n"/>
      <c r="O11" s="29" t="n"/>
      <c r="P11" s="29" t="n"/>
      <c r="Q11" s="29" t="n"/>
      <c r="R11" s="29" t="n"/>
      <c r="S11" s="29" t="n"/>
      <c r="T11" s="29" t="n"/>
      <c r="U11" s="29" t="n"/>
      <c r="V11" s="29" t="n"/>
      <c r="W11" s="29" t="n"/>
      <c r="X11" s="1" t="n"/>
    </row>
    <row r="12" ht="22" customHeight="1" s="110">
      <c r="A12" s="54" t="n">
        <v>7</v>
      </c>
      <c r="B12" s="55" t="inlineStr">
        <is>
          <t>Mahindra</t>
        </is>
      </c>
      <c r="C12" s="28" t="n"/>
      <c r="D12" s="54" t="inlineStr">
        <is>
          <t>GTB61643</t>
        </is>
      </c>
      <c r="E12" s="5" t="inlineStr">
        <is>
          <t>Juan Herrera</t>
        </is>
      </c>
      <c r="F12" s="5" t="inlineStr">
        <is>
          <t>Catarina Muniz</t>
        </is>
      </c>
      <c r="G12" s="5" t="inlineStr">
        <is>
          <t>Leticia Dantas</t>
        </is>
      </c>
      <c r="H12" s="28" t="n"/>
      <c r="I12" s="54" t="inlineStr">
        <is>
          <t>TAX</t>
        </is>
      </c>
      <c r="J12" s="54" t="n">
        <v>2027</v>
      </c>
      <c r="K12" s="28" t="n"/>
      <c r="L12" s="28" t="n"/>
      <c r="M12" s="28" t="n"/>
      <c r="N12" s="28" t="n"/>
      <c r="O12" s="28" t="n"/>
      <c r="P12" s="28" t="n"/>
      <c r="Q12" s="28" t="n"/>
      <c r="R12" s="28" t="n"/>
      <c r="S12" s="28" t="n"/>
      <c r="T12" s="28" t="n"/>
      <c r="U12" s="28" t="n"/>
      <c r="V12" s="28" t="n"/>
      <c r="W12" s="28" t="n"/>
      <c r="X12" s="1" t="n"/>
    </row>
    <row r="13" ht="22" customHeight="1" s="110">
      <c r="A13" s="57" t="n">
        <v>8</v>
      </c>
      <c r="B13" s="58" t="inlineStr">
        <is>
          <t>Murata</t>
        </is>
      </c>
      <c r="C13" s="29" t="n"/>
      <c r="D13" s="57" t="inlineStr">
        <is>
          <t>GTB64110</t>
        </is>
      </c>
      <c r="E13" s="8" t="inlineStr">
        <is>
          <t>Juan Herrera</t>
        </is>
      </c>
      <c r="F13" s="29" t="n"/>
      <c r="G13" s="8" t="inlineStr">
        <is>
          <t>Carlos Benfica</t>
        </is>
      </c>
      <c r="H13" s="8" t="inlineStr">
        <is>
          <t>Kaik Oliveira</t>
        </is>
      </c>
      <c r="I13" s="57" t="inlineStr">
        <is>
          <t>TAX</t>
        </is>
      </c>
      <c r="J13" s="57" t="n">
        <v>2026</v>
      </c>
      <c r="K13" s="29" t="n"/>
      <c r="L13" s="29" t="n"/>
      <c r="M13" s="29" t="n"/>
      <c r="N13" s="29" t="n"/>
      <c r="O13" s="29" t="n"/>
      <c r="P13" s="29" t="n"/>
      <c r="Q13" s="29" t="n"/>
      <c r="R13" s="29" t="n"/>
      <c r="S13" s="29" t="n"/>
      <c r="T13" s="29" t="n"/>
      <c r="U13" s="29" t="n"/>
      <c r="V13" s="29" t="n"/>
      <c r="W13" s="29" t="n"/>
      <c r="X13" s="1" t="n"/>
    </row>
    <row r="14" ht="22" customHeight="1" s="110">
      <c r="A14" s="54" t="n">
        <v>9</v>
      </c>
      <c r="B14" s="55" t="inlineStr">
        <is>
          <t>Murata</t>
        </is>
      </c>
      <c r="C14" s="28" t="n"/>
      <c r="D14" s="54" t="inlineStr">
        <is>
          <t>GTB64112</t>
        </is>
      </c>
      <c r="E14" s="5" t="inlineStr">
        <is>
          <t>Juan Herrera</t>
        </is>
      </c>
      <c r="F14" s="28" t="n"/>
      <c r="G14" s="5" t="inlineStr">
        <is>
          <t>Carlos Benfica</t>
        </is>
      </c>
      <c r="H14" s="5" t="inlineStr">
        <is>
          <t>Kaik Oliveira</t>
        </is>
      </c>
      <c r="I14" s="54" t="inlineStr">
        <is>
          <t>TAX</t>
        </is>
      </c>
      <c r="J14" s="54" t="n">
        <v>2027</v>
      </c>
      <c r="K14" s="28" t="n"/>
      <c r="L14" s="28" t="n"/>
      <c r="M14" s="28" t="n"/>
      <c r="N14" s="28" t="n"/>
      <c r="O14" s="28" t="n"/>
      <c r="P14" s="28" t="n"/>
      <c r="Q14" s="28" t="n"/>
      <c r="R14" s="28" t="n"/>
      <c r="S14" s="28" t="n"/>
      <c r="T14" s="28" t="n"/>
      <c r="U14" s="28" t="n"/>
      <c r="V14" s="28" t="n"/>
      <c r="W14" s="28" t="n"/>
      <c r="X14" s="1" t="n"/>
    </row>
    <row r="15" ht="22" customHeight="1" s="110">
      <c r="A15" s="57" t="n">
        <v>10</v>
      </c>
      <c r="B15" s="58" t="inlineStr">
        <is>
          <t>Pensalab - Pensabio</t>
        </is>
      </c>
      <c r="C15" s="29" t="n"/>
      <c r="D15" s="57" t="inlineStr">
        <is>
          <t>GTB61045</t>
        </is>
      </c>
      <c r="E15" s="8" t="inlineStr">
        <is>
          <t>Clarissa Haidar</t>
        </is>
      </c>
      <c r="F15" s="29" t="n"/>
      <c r="G15" s="29" t="n"/>
      <c r="H15" s="29" t="n"/>
      <c r="I15" s="57" t="inlineStr">
        <is>
          <t>TAX</t>
        </is>
      </c>
      <c r="J15" s="57" t="n">
        <v>2026</v>
      </c>
      <c r="K15" s="29" t="n"/>
      <c r="L15" s="29" t="n"/>
      <c r="M15" s="29" t="n"/>
      <c r="N15" s="29" t="n"/>
      <c r="O15" s="29" t="n"/>
      <c r="P15" s="29" t="n"/>
      <c r="Q15" s="29" t="n"/>
      <c r="R15" s="29" t="n"/>
      <c r="S15" s="29" t="n"/>
      <c r="T15" s="29" t="n"/>
      <c r="U15" s="29" t="n"/>
      <c r="V15" s="29" t="n"/>
      <c r="W15" s="29" t="n"/>
      <c r="X15" s="1" t="n"/>
    </row>
    <row r="16" ht="22" customHeight="1" s="110">
      <c r="A16" s="54" t="n">
        <v>11</v>
      </c>
      <c r="B16" s="55" t="inlineStr">
        <is>
          <t>QAT</t>
        </is>
      </c>
      <c r="C16" s="28" t="n"/>
      <c r="D16" s="54" t="inlineStr">
        <is>
          <t>GTB5554</t>
        </is>
      </c>
      <c r="E16" s="5" t="inlineStr">
        <is>
          <t>Clarissa Haidar</t>
        </is>
      </c>
      <c r="F16" s="28" t="n"/>
      <c r="G16" s="28" t="n"/>
      <c r="H16" s="28" t="n"/>
      <c r="I16" s="54" t="inlineStr">
        <is>
          <t>TAX</t>
        </is>
      </c>
      <c r="J16" s="54" t="n">
        <v>2026</v>
      </c>
      <c r="K16" s="28" t="n"/>
      <c r="L16" s="28" t="n"/>
      <c r="M16" s="28" t="n"/>
      <c r="N16" s="28" t="n"/>
      <c r="O16" s="28" t="n"/>
      <c r="P16" s="28" t="n"/>
      <c r="Q16" s="28" t="n"/>
      <c r="R16" s="28" t="n"/>
      <c r="S16" s="28" t="n"/>
      <c r="T16" s="28" t="n"/>
      <c r="U16" s="28" t="n"/>
      <c r="V16" s="28" t="n"/>
      <c r="W16" s="28" t="n"/>
      <c r="X16" s="1" t="n"/>
    </row>
    <row r="17" ht="22" customHeight="1" s="110">
      <c r="A17" s="57" t="n">
        <v>12</v>
      </c>
      <c r="B17" s="58" t="inlineStr">
        <is>
          <t>Record Entretenimento</t>
        </is>
      </c>
      <c r="C17" s="29" t="n"/>
      <c r="D17" s="57" t="inlineStr">
        <is>
          <t xml:space="preserve">GTB55312 </t>
        </is>
      </c>
      <c r="E17" s="8" t="inlineStr">
        <is>
          <t>Clarissa Haidar</t>
        </is>
      </c>
      <c r="F17" s="8" t="n"/>
      <c r="G17" s="29" t="n"/>
      <c r="H17" s="29" t="n"/>
      <c r="I17" s="57" t="inlineStr">
        <is>
          <t>TAX</t>
        </is>
      </c>
      <c r="J17" s="57" t="n">
        <v>2026</v>
      </c>
      <c r="K17" s="29" t="n"/>
      <c r="L17" s="29" t="n"/>
      <c r="M17" s="29" t="n"/>
      <c r="N17" s="29" t="n"/>
      <c r="O17" s="29" t="n"/>
      <c r="P17" s="29" t="n"/>
      <c r="Q17" s="29" t="n"/>
      <c r="R17" s="29" t="n"/>
      <c r="S17" s="29" t="n"/>
      <c r="T17" s="29" t="n"/>
      <c r="U17" s="29" t="n"/>
      <c r="V17" s="29" t="n"/>
      <c r="W17" s="29" t="n"/>
      <c r="X17" s="1" t="n"/>
    </row>
    <row r="18" ht="22" customHeight="1" s="110">
      <c r="A18" s="54" t="n">
        <v>13</v>
      </c>
      <c r="B18" s="55" t="inlineStr">
        <is>
          <t>Schaefer Yachts</t>
        </is>
      </c>
      <c r="C18" s="28" t="n"/>
      <c r="D18" s="54" t="inlineStr">
        <is>
          <t>GTB64097</t>
        </is>
      </c>
      <c r="E18" s="5" t="inlineStr">
        <is>
          <t>Juan Herrera</t>
        </is>
      </c>
      <c r="F18" s="28" t="n"/>
      <c r="G18" s="28" t="n"/>
      <c r="H18" s="5" t="inlineStr">
        <is>
          <t>Bruna Vidal</t>
        </is>
      </c>
      <c r="I18" s="54" t="inlineStr">
        <is>
          <t>TAX</t>
        </is>
      </c>
      <c r="J18" s="54" t="n">
        <v>2026</v>
      </c>
      <c r="K18" s="28" t="n"/>
      <c r="L18" s="28" t="n"/>
      <c r="M18" s="28" t="n"/>
      <c r="N18" s="28" t="n"/>
      <c r="O18" s="28" t="n"/>
      <c r="P18" s="28" t="n"/>
      <c r="Q18" s="28" t="n"/>
      <c r="R18" s="28" t="n"/>
      <c r="S18" s="28" t="n"/>
      <c r="T18" s="28" t="n"/>
      <c r="U18" s="28" t="n"/>
      <c r="V18" s="28" t="n"/>
      <c r="W18" s="28" t="n"/>
      <c r="X18" s="1" t="n"/>
    </row>
    <row r="19" ht="22" customHeight="1" s="110">
      <c r="A19" s="57" t="n">
        <v>14</v>
      </c>
      <c r="B19" s="58" t="inlineStr">
        <is>
          <t>Duravant</t>
        </is>
      </c>
      <c r="C19" s="29" t="n"/>
      <c r="D19" s="57" t="inlineStr">
        <is>
          <t>GTB65582</t>
        </is>
      </c>
      <c r="E19" s="8" t="inlineStr">
        <is>
          <t>Clarissa Haidar</t>
        </is>
      </c>
      <c r="F19" s="8" t="inlineStr">
        <is>
          <t>Julia Loureiro</t>
        </is>
      </c>
      <c r="G19" s="8" t="inlineStr">
        <is>
          <t>Leticia Dantas</t>
        </is>
      </c>
      <c r="H19" s="29" t="n"/>
      <c r="I19" s="29" t="n"/>
      <c r="J19" s="29" t="n"/>
      <c r="K19" s="29" t="n"/>
      <c r="L19" s="29" t="n"/>
      <c r="M19" s="29" t="n"/>
      <c r="N19" s="29" t="n"/>
      <c r="O19" s="29" t="n"/>
      <c r="P19" s="29" t="n"/>
      <c r="Q19" s="29" t="n"/>
      <c r="R19" s="29" t="n"/>
      <c r="S19" s="29" t="n"/>
      <c r="T19" s="29" t="n"/>
      <c r="U19" s="29" t="n"/>
      <c r="V19" s="29" t="n"/>
      <c r="W19" s="29" t="n"/>
      <c r="X19" s="1" t="n"/>
    </row>
    <row r="20" ht="22" customHeight="1" s="110">
      <c r="A20" s="54" t="n">
        <v>15</v>
      </c>
      <c r="B20" s="55" t="inlineStr">
        <is>
          <t>IMERYS DO BRASIL COMERCIO DE EXTRACAO DE MINERIOS LTDA</t>
        </is>
      </c>
      <c r="C20" s="28" t="n"/>
      <c r="D20" s="54" t="inlineStr">
        <is>
          <t>GTB64781</t>
        </is>
      </c>
      <c r="E20" s="5" t="inlineStr">
        <is>
          <t xml:space="preserve">Jessica Barbieri </t>
        </is>
      </c>
      <c r="F20" s="28" t="n"/>
      <c r="G20" s="28" t="n"/>
      <c r="H20" s="28" t="n"/>
      <c r="I20" s="28" t="n"/>
      <c r="J20" s="28" t="n"/>
      <c r="K20" s="28" t="n"/>
      <c r="L20" s="28" t="n"/>
      <c r="M20" s="28" t="n"/>
      <c r="N20" s="28" t="n"/>
      <c r="O20" s="28" t="n"/>
      <c r="P20" s="28" t="n"/>
      <c r="Q20" s="28" t="n"/>
      <c r="R20" s="28" t="n"/>
      <c r="S20" s="28" t="n"/>
      <c r="T20" s="28" t="n"/>
      <c r="U20" s="28" t="n"/>
      <c r="V20" s="28" t="n"/>
      <c r="W20" s="28" t="n"/>
      <c r="X20" s="1" t="n"/>
    </row>
    <row r="21" ht="22" customHeight="1" s="110">
      <c r="A21" s="57" t="n">
        <v>16</v>
      </c>
      <c r="B21" s="58" t="inlineStr">
        <is>
          <t>IMERYS FUSED MINERALS SALTO LTDA.</t>
        </is>
      </c>
      <c r="C21" s="29" t="n"/>
      <c r="D21" s="57" t="inlineStr">
        <is>
          <t>GTB 64781</t>
        </is>
      </c>
      <c r="E21" s="8" t="inlineStr">
        <is>
          <t xml:space="preserve">Jessica Barbieri </t>
        </is>
      </c>
      <c r="F21" s="29" t="n"/>
      <c r="G21" s="29" t="n"/>
      <c r="H21" s="29" t="n"/>
      <c r="I21" s="29" t="n"/>
      <c r="J21" s="29" t="n"/>
      <c r="K21" s="29" t="n"/>
      <c r="L21" s="29" t="n"/>
      <c r="M21" s="29" t="n"/>
      <c r="N21" s="29" t="n"/>
      <c r="O21" s="29" t="n"/>
      <c r="P21" s="29" t="n"/>
      <c r="Q21" s="29" t="n"/>
      <c r="R21" s="29" t="n"/>
      <c r="S21" s="29" t="n"/>
      <c r="T21" s="29" t="n"/>
      <c r="U21" s="29" t="n"/>
      <c r="V21" s="29" t="n"/>
      <c r="W21" s="29" t="n"/>
      <c r="X21" s="1" t="n"/>
    </row>
    <row r="22" ht="22" customHeight="1" s="110">
      <c r="A22" s="54" t="n">
        <v>17</v>
      </c>
      <c r="B22" s="28" t="n"/>
      <c r="C22" s="28" t="n"/>
      <c r="D22" s="28" t="n"/>
      <c r="E22" s="28" t="n"/>
      <c r="F22" s="28" t="n"/>
      <c r="G22" s="28" t="n"/>
      <c r="H22" s="28" t="n"/>
      <c r="I22" s="28" t="n"/>
      <c r="J22" s="28" t="n"/>
      <c r="K22" s="28" t="n"/>
      <c r="L22" s="28" t="n"/>
      <c r="M22" s="28" t="n"/>
      <c r="N22" s="28" t="n"/>
      <c r="O22" s="28" t="n"/>
      <c r="P22" s="28" t="n"/>
      <c r="Q22" s="28" t="n"/>
      <c r="R22" s="28" t="n"/>
      <c r="S22" s="28" t="n"/>
      <c r="T22" s="28" t="n"/>
      <c r="U22" s="28" t="n"/>
      <c r="V22" s="28" t="n"/>
      <c r="W22" s="28" t="n"/>
      <c r="X22" s="1" t="n"/>
    </row>
    <row r="23" ht="22" customHeight="1" s="110">
      <c r="A23" s="57" t="n">
        <v>18</v>
      </c>
      <c r="B23" s="29" t="n"/>
      <c r="C23" s="29" t="n"/>
      <c r="D23" s="29" t="n"/>
      <c r="E23" s="29" t="n"/>
      <c r="F23" s="29" t="n"/>
      <c r="G23" s="29" t="n"/>
      <c r="H23" s="29" t="n"/>
      <c r="I23" s="29" t="n"/>
      <c r="J23" s="29" t="n"/>
      <c r="K23" s="29" t="n"/>
      <c r="L23" s="29" t="n"/>
      <c r="M23" s="29" t="n"/>
      <c r="N23" s="29" t="n"/>
      <c r="O23" s="29" t="n"/>
      <c r="P23" s="29" t="n"/>
      <c r="Q23" s="29" t="n"/>
      <c r="R23" s="29" t="n"/>
      <c r="S23" s="29" t="n"/>
      <c r="T23" s="29" t="n"/>
      <c r="U23" s="29" t="n"/>
      <c r="V23" s="29" t="n"/>
      <c r="W23" s="29" t="n"/>
      <c r="X23" s="1" t="n"/>
    </row>
    <row r="24" ht="22" customHeight="1" s="110">
      <c r="A24" s="54" t="n">
        <v>19</v>
      </c>
      <c r="B24" s="28" t="n"/>
      <c r="C24" s="28" t="n"/>
      <c r="D24" s="28" t="n"/>
      <c r="E24" s="28" t="n"/>
      <c r="F24" s="28" t="n"/>
      <c r="G24" s="28" t="n"/>
      <c r="H24" s="28" t="n"/>
      <c r="I24" s="28" t="n"/>
      <c r="J24" s="28" t="n"/>
      <c r="K24" s="28" t="n"/>
      <c r="L24" s="28" t="n"/>
      <c r="M24" s="28" t="n"/>
      <c r="N24" s="28" t="n"/>
      <c r="O24" s="28" t="n"/>
      <c r="P24" s="28" t="n"/>
      <c r="Q24" s="28" t="n"/>
      <c r="R24" s="28" t="n"/>
      <c r="S24" s="28" t="n"/>
      <c r="T24" s="28" t="n"/>
      <c r="U24" s="28" t="n"/>
      <c r="V24" s="28" t="n"/>
      <c r="W24" s="28" t="n"/>
      <c r="X24" s="1" t="n"/>
    </row>
    <row r="25" ht="22" customHeight="1" s="110">
      <c r="A25" s="57" t="n">
        <v>20</v>
      </c>
      <c r="B25" s="29" t="n"/>
      <c r="C25" s="29" t="n"/>
      <c r="D25" s="29" t="n"/>
      <c r="E25" s="29" t="n"/>
      <c r="F25" s="29" t="n"/>
      <c r="G25" s="29" t="n"/>
      <c r="H25" s="29" t="n"/>
      <c r="I25" s="29" t="n"/>
      <c r="J25" s="29" t="n"/>
      <c r="K25" s="29" t="n"/>
      <c r="L25" s="29" t="n"/>
      <c r="M25" s="29" t="n"/>
      <c r="N25" s="29" t="n"/>
      <c r="O25" s="29" t="n"/>
      <c r="P25" s="29" t="n"/>
      <c r="Q25" s="29" t="n"/>
      <c r="R25" s="29" t="n"/>
      <c r="S25" s="29" t="n"/>
      <c r="T25" s="29" t="n"/>
      <c r="U25" s="29" t="n"/>
      <c r="V25" s="29" t="n"/>
      <c r="W25" s="29" t="n"/>
      <c r="X25" s="1" t="n"/>
    </row>
    <row r="26" ht="22" customHeight="1" s="110">
      <c r="A26" s="54" t="n">
        <v>21</v>
      </c>
      <c r="B26" s="28" t="n"/>
      <c r="C26" s="28" t="n"/>
      <c r="D26" s="28" t="n"/>
      <c r="E26" s="28" t="n"/>
      <c r="F26" s="28" t="n"/>
      <c r="G26" s="28" t="n"/>
      <c r="H26" s="28" t="n"/>
      <c r="I26" s="54" t="inlineStr">
        <is>
          <t>TAX</t>
        </is>
      </c>
      <c r="J26" s="28" t="n"/>
      <c r="K26" s="28" t="n"/>
      <c r="L26" s="28" t="n"/>
      <c r="M26" s="28" t="n"/>
      <c r="N26" s="28" t="n"/>
      <c r="O26" s="28" t="n"/>
      <c r="P26" s="28" t="n"/>
      <c r="Q26" s="28" t="n"/>
      <c r="R26" s="28" t="n"/>
      <c r="S26" s="28" t="n"/>
      <c r="T26" s="28" t="n"/>
      <c r="U26" s="28" t="n"/>
      <c r="V26" s="28" t="n"/>
      <c r="W26" s="28" t="n"/>
      <c r="X26" s="1" t="n"/>
    </row>
    <row r="27" ht="22" customHeight="1" s="110">
      <c r="A27" s="57" t="n">
        <v>22</v>
      </c>
      <c r="B27" s="29" t="n"/>
      <c r="C27" s="29" t="n"/>
      <c r="D27" s="29" t="n"/>
      <c r="E27" s="29" t="n"/>
      <c r="F27" s="29" t="n"/>
      <c r="G27" s="29" t="n"/>
      <c r="H27" s="29" t="n"/>
      <c r="I27" s="57" t="inlineStr">
        <is>
          <t>TAX</t>
        </is>
      </c>
      <c r="J27" s="29" t="n"/>
      <c r="K27" s="29" t="n"/>
      <c r="L27" s="29" t="n"/>
      <c r="M27" s="29" t="n"/>
      <c r="N27" s="29" t="n"/>
      <c r="O27" s="29" t="n"/>
      <c r="P27" s="29" t="n"/>
      <c r="Q27" s="29" t="n"/>
      <c r="R27" s="29" t="n"/>
      <c r="S27" s="29" t="n"/>
      <c r="T27" s="29" t="n"/>
      <c r="U27" s="29" t="n"/>
      <c r="V27" s="29" t="n"/>
      <c r="W27" s="29" t="n"/>
      <c r="X27" s="1" t="n"/>
    </row>
    <row r="28" ht="22" customHeight="1" s="110">
      <c r="A28" s="54" t="n">
        <v>23</v>
      </c>
      <c r="B28" s="28" t="n"/>
      <c r="C28" s="28" t="n"/>
      <c r="D28" s="28" t="n"/>
      <c r="E28" s="28" t="n"/>
      <c r="F28" s="28" t="n"/>
      <c r="G28" s="28" t="n"/>
      <c r="H28" s="28" t="n"/>
      <c r="I28" s="54" t="inlineStr">
        <is>
          <t>TAX</t>
        </is>
      </c>
      <c r="J28" s="28" t="n"/>
      <c r="K28" s="28" t="n"/>
      <c r="L28" s="28" t="n"/>
      <c r="M28" s="28" t="n"/>
      <c r="N28" s="28" t="n"/>
      <c r="O28" s="28" t="n"/>
      <c r="P28" s="28" t="n"/>
      <c r="Q28" s="28" t="n"/>
      <c r="R28" s="28" t="n"/>
      <c r="S28" s="28" t="n"/>
      <c r="T28" s="28" t="n"/>
      <c r="U28" s="28" t="n"/>
      <c r="V28" s="28" t="n"/>
      <c r="W28" s="28" t="n"/>
      <c r="X28" s="1" t="n"/>
    </row>
    <row r="29" ht="22" customHeight="1" s="110">
      <c r="A29" s="57" t="n">
        <v>24</v>
      </c>
      <c r="B29" s="29" t="n"/>
      <c r="C29" s="29" t="n"/>
      <c r="D29" s="29" t="n"/>
      <c r="E29" s="29" t="n"/>
      <c r="F29" s="29" t="n"/>
      <c r="G29" s="29" t="n"/>
      <c r="H29" s="29" t="n"/>
      <c r="I29" s="57" t="inlineStr">
        <is>
          <t>TAX</t>
        </is>
      </c>
      <c r="J29" s="29" t="n"/>
      <c r="K29" s="29" t="n"/>
      <c r="L29" s="29" t="n"/>
      <c r="M29" s="29" t="n"/>
      <c r="N29" s="29" t="n"/>
      <c r="O29" s="29" t="n"/>
      <c r="P29" s="29" t="n"/>
      <c r="Q29" s="29" t="n"/>
      <c r="R29" s="29" t="n"/>
      <c r="S29" s="29" t="n"/>
      <c r="T29" s="29" t="n"/>
      <c r="U29" s="29" t="n"/>
      <c r="V29" s="29" t="n"/>
      <c r="W29" s="29" t="n"/>
      <c r="X29" s="1" t="n"/>
    </row>
    <row r="30" ht="22" customHeight="1" s="110">
      <c r="A30" s="54" t="n">
        <v>25</v>
      </c>
      <c r="B30" s="28" t="n"/>
      <c r="C30" s="28" t="n"/>
      <c r="D30" s="28" t="n"/>
      <c r="E30" s="28" t="n"/>
      <c r="F30" s="28" t="n"/>
      <c r="G30" s="28" t="n"/>
      <c r="H30" s="28" t="n"/>
      <c r="I30" s="54" t="inlineStr">
        <is>
          <t>TAX</t>
        </is>
      </c>
      <c r="J30" s="28" t="n"/>
      <c r="K30" s="28" t="n"/>
      <c r="L30" s="28" t="n"/>
      <c r="M30" s="28" t="n"/>
      <c r="N30" s="28" t="n"/>
      <c r="O30" s="28" t="n"/>
      <c r="P30" s="28" t="n"/>
      <c r="Q30" s="28" t="n"/>
      <c r="R30" s="28" t="n"/>
      <c r="S30" s="28" t="n"/>
      <c r="T30" s="28" t="n"/>
      <c r="U30" s="28" t="n"/>
      <c r="V30" s="28" t="n"/>
      <c r="W30" s="28" t="n"/>
      <c r="X30" s="1" t="n"/>
    </row>
    <row r="31" ht="22" customHeight="1" s="110">
      <c r="A31" s="57" t="n">
        <v>26</v>
      </c>
      <c r="B31" s="29" t="n"/>
      <c r="C31" s="29" t="n"/>
      <c r="D31" s="29" t="n"/>
      <c r="E31" s="29" t="n"/>
      <c r="F31" s="29" t="n"/>
      <c r="G31" s="29" t="n"/>
      <c r="H31" s="29" t="n"/>
      <c r="I31" s="57" t="inlineStr">
        <is>
          <t>TAX</t>
        </is>
      </c>
      <c r="J31" s="29" t="n"/>
      <c r="K31" s="29" t="n"/>
      <c r="L31" s="29" t="n"/>
      <c r="M31" s="29" t="n"/>
      <c r="N31" s="29" t="n"/>
      <c r="O31" s="29" t="n"/>
      <c r="P31" s="29" t="n"/>
      <c r="Q31" s="29" t="n"/>
      <c r="R31" s="29" t="n"/>
      <c r="S31" s="29" t="n"/>
      <c r="T31" s="29" t="n"/>
      <c r="U31" s="29" t="n"/>
      <c r="V31" s="29" t="n"/>
      <c r="W31" s="29" t="n"/>
      <c r="X31" s="1" t="n"/>
    </row>
    <row r="32" ht="22" customHeight="1" s="110">
      <c r="A32" s="54" t="n">
        <v>27</v>
      </c>
      <c r="B32" s="28" t="n"/>
      <c r="C32" s="28" t="n"/>
      <c r="D32" s="28" t="n"/>
      <c r="E32" s="28" t="n"/>
      <c r="F32" s="28" t="n"/>
      <c r="G32" s="28" t="n"/>
      <c r="H32" s="28" t="n"/>
      <c r="I32" s="28" t="n"/>
      <c r="J32" s="28" t="n"/>
      <c r="K32" s="28" t="n"/>
      <c r="L32" s="28" t="n"/>
      <c r="M32" s="28" t="n"/>
      <c r="N32" s="28" t="n"/>
      <c r="O32" s="28" t="n"/>
      <c r="P32" s="28" t="n"/>
      <c r="Q32" s="28" t="n"/>
      <c r="R32" s="28" t="n"/>
      <c r="S32" s="28" t="n"/>
      <c r="T32" s="28" t="n"/>
      <c r="U32" s="28" t="n"/>
      <c r="V32" s="28" t="n"/>
      <c r="W32" s="28" t="n"/>
      <c r="X32" s="1" t="n"/>
    </row>
    <row r="33" ht="22" customHeight="1" s="110">
      <c r="A33" s="57" t="n">
        <v>28</v>
      </c>
      <c r="B33" s="29" t="n"/>
      <c r="C33" s="29" t="n"/>
      <c r="D33" s="29" t="n"/>
      <c r="E33" s="29" t="n"/>
      <c r="F33" s="29" t="n"/>
      <c r="G33" s="29" t="n"/>
      <c r="H33" s="29" t="n"/>
      <c r="I33" s="29" t="n"/>
      <c r="J33" s="29" t="n"/>
      <c r="K33" s="29" t="n"/>
      <c r="L33" s="29" t="n"/>
      <c r="M33" s="29" t="n"/>
      <c r="N33" s="29" t="n"/>
      <c r="O33" s="29" t="n"/>
      <c r="P33" s="29" t="n"/>
      <c r="Q33" s="29" t="n"/>
      <c r="R33" s="29" t="n"/>
      <c r="S33" s="29" t="n"/>
      <c r="T33" s="29" t="n"/>
      <c r="U33" s="29" t="n"/>
      <c r="V33" s="29" t="n"/>
      <c r="W33" s="29" t="n"/>
      <c r="X33" s="1" t="n"/>
    </row>
    <row r="34" ht="22" customHeight="1" s="110">
      <c r="A34" s="54" t="n">
        <v>29</v>
      </c>
      <c r="B34" s="28" t="n"/>
      <c r="C34" s="28" t="n"/>
      <c r="D34" s="28" t="n"/>
      <c r="E34" s="28" t="n"/>
      <c r="F34" s="28" t="n"/>
      <c r="G34" s="28" t="n"/>
      <c r="H34" s="28" t="n"/>
      <c r="I34" s="28" t="n"/>
      <c r="J34" s="28" t="n"/>
      <c r="K34" s="28" t="n"/>
      <c r="L34" s="28" t="n"/>
      <c r="M34" s="28" t="n"/>
      <c r="N34" s="28" t="n"/>
      <c r="O34" s="28" t="n"/>
      <c r="P34" s="28" t="n"/>
      <c r="Q34" s="28" t="n"/>
      <c r="R34" s="28" t="n"/>
      <c r="S34" s="28" t="n"/>
      <c r="T34" s="28" t="n"/>
      <c r="U34" s="28" t="n"/>
      <c r="V34" s="28" t="n"/>
      <c r="W34" s="28" t="n"/>
      <c r="X34" s="1" t="n"/>
    </row>
    <row r="35" ht="22" customHeight="1" s="110">
      <c r="A35" s="57" t="n">
        <v>30</v>
      </c>
      <c r="B35" s="29" t="n"/>
      <c r="C35" s="29" t="n"/>
      <c r="D35" s="29" t="n"/>
      <c r="E35" s="29" t="n"/>
      <c r="F35" s="29" t="n"/>
      <c r="G35" s="29" t="n"/>
      <c r="H35" s="29" t="n"/>
      <c r="I35" s="29" t="n"/>
      <c r="J35" s="29" t="n"/>
      <c r="K35" s="29" t="n"/>
      <c r="L35" s="29" t="n"/>
      <c r="M35" s="29" t="n"/>
      <c r="N35" s="29" t="n"/>
      <c r="O35" s="29" t="n"/>
      <c r="P35" s="29" t="n"/>
      <c r="Q35" s="29" t="n"/>
      <c r="R35" s="29" t="n"/>
      <c r="S35" s="29" t="n"/>
      <c r="T35" s="29" t="n"/>
      <c r="U35" s="29" t="n"/>
      <c r="V35" s="29" t="n"/>
      <c r="W35" s="29" t="n"/>
      <c r="X35" s="1" t="n"/>
    </row>
    <row r="36" ht="22" customHeight="1" s="110">
      <c r="A36" s="54" t="n">
        <v>31</v>
      </c>
      <c r="B36" s="28" t="n"/>
      <c r="C36" s="28" t="n"/>
      <c r="D36" s="28" t="n"/>
      <c r="E36" s="28" t="n"/>
      <c r="F36" s="28" t="n"/>
      <c r="G36" s="28" t="n"/>
      <c r="H36" s="28" t="n"/>
      <c r="I36" s="28" t="n"/>
      <c r="J36" s="28" t="n"/>
      <c r="K36" s="28" t="n"/>
      <c r="L36" s="28" t="n"/>
      <c r="M36" s="28" t="n"/>
      <c r="N36" s="28" t="n"/>
      <c r="O36" s="28" t="n"/>
      <c r="P36" s="28" t="n"/>
      <c r="Q36" s="28" t="n"/>
      <c r="R36" s="28" t="n"/>
      <c r="S36" s="28" t="n"/>
      <c r="T36" s="28" t="n"/>
      <c r="U36" s="28" t="n"/>
      <c r="V36" s="28" t="n"/>
      <c r="W36" s="28" t="n"/>
      <c r="X36" s="1" t="n"/>
    </row>
    <row r="37" ht="22" customHeight="1" s="110">
      <c r="A37" s="57" t="n">
        <v>32</v>
      </c>
      <c r="B37" s="29" t="n"/>
      <c r="C37" s="29" t="n"/>
      <c r="D37" s="29" t="n"/>
      <c r="E37" s="29" t="n"/>
      <c r="F37" s="29" t="n"/>
      <c r="G37" s="29" t="n"/>
      <c r="H37" s="29" t="n"/>
      <c r="I37" s="29" t="n"/>
      <c r="J37" s="29" t="n"/>
      <c r="K37" s="29" t="n"/>
      <c r="L37" s="29" t="n"/>
      <c r="M37" s="29" t="n"/>
      <c r="N37" s="29" t="n"/>
      <c r="O37" s="29" t="n"/>
      <c r="P37" s="29" t="n"/>
      <c r="Q37" s="29" t="n"/>
      <c r="R37" s="29" t="n"/>
      <c r="S37" s="29" t="n"/>
      <c r="T37" s="29" t="n"/>
      <c r="U37" s="29" t="n"/>
      <c r="V37" s="29" t="n"/>
      <c r="W37" s="29" t="n"/>
      <c r="X37" s="1" t="n"/>
    </row>
    <row r="38" ht="22" customHeight="1" s="110">
      <c r="A38" s="54" t="n">
        <v>33</v>
      </c>
      <c r="B38" s="28" t="n"/>
      <c r="C38" s="28" t="n"/>
      <c r="D38" s="28" t="n"/>
      <c r="E38" s="28" t="n"/>
      <c r="F38" s="28" t="n"/>
      <c r="G38" s="28" t="n"/>
      <c r="H38" s="28" t="n"/>
      <c r="I38" s="28" t="n"/>
      <c r="J38" s="28" t="n"/>
      <c r="K38" s="28" t="n"/>
      <c r="L38" s="28" t="n"/>
      <c r="M38" s="28" t="n"/>
      <c r="N38" s="28" t="n"/>
      <c r="O38" s="28" t="n"/>
      <c r="P38" s="28" t="n"/>
      <c r="Q38" s="28" t="n"/>
      <c r="R38" s="28" t="n"/>
      <c r="S38" s="28" t="n"/>
      <c r="T38" s="28" t="n"/>
      <c r="U38" s="28" t="n"/>
      <c r="V38" s="28" t="n"/>
      <c r="W38" s="28" t="n"/>
      <c r="X38" s="1" t="n"/>
    </row>
    <row r="39" ht="22" customHeight="1" s="110">
      <c r="A39" s="57" t="n">
        <v>34</v>
      </c>
      <c r="B39" s="29" t="n"/>
      <c r="C39" s="29" t="n"/>
      <c r="D39" s="29" t="n"/>
      <c r="E39" s="29" t="n"/>
      <c r="F39" s="29" t="n"/>
      <c r="G39" s="29" t="n"/>
      <c r="H39" s="29" t="n"/>
      <c r="I39" s="29" t="n"/>
      <c r="J39" s="29" t="n"/>
      <c r="K39" s="29" t="n"/>
      <c r="L39" s="29" t="n"/>
      <c r="M39" s="29" t="n"/>
      <c r="N39" s="29" t="n"/>
      <c r="O39" s="29" t="n"/>
      <c r="P39" s="29" t="n"/>
      <c r="Q39" s="29" t="n"/>
      <c r="R39" s="29" t="n"/>
      <c r="S39" s="29" t="n"/>
      <c r="T39" s="29" t="n"/>
      <c r="U39" s="29" t="n"/>
      <c r="V39" s="29" t="n"/>
      <c r="W39" s="29" t="n"/>
      <c r="X39" s="1" t="n"/>
    </row>
    <row r="40" ht="22" customHeight="1" s="110">
      <c r="A40" s="54" t="n">
        <v>35</v>
      </c>
      <c r="B40" s="28" t="n"/>
      <c r="C40" s="28" t="n"/>
      <c r="D40" s="28" t="n"/>
      <c r="E40" s="28" t="n"/>
      <c r="F40" s="28" t="n"/>
      <c r="G40" s="28" t="n"/>
      <c r="H40" s="28" t="n"/>
      <c r="I40" s="28" t="n"/>
      <c r="J40" s="28" t="n"/>
      <c r="K40" s="28" t="n"/>
      <c r="L40" s="28" t="n"/>
      <c r="M40" s="28" t="n"/>
      <c r="N40" s="28" t="n"/>
      <c r="O40" s="28" t="n"/>
      <c r="P40" s="28" t="n"/>
      <c r="Q40" s="28" t="n"/>
      <c r="R40" s="28" t="n"/>
      <c r="S40" s="28" t="n"/>
      <c r="T40" s="28" t="n"/>
      <c r="U40" s="28" t="n"/>
      <c r="V40" s="28" t="n"/>
      <c r="W40" s="28" t="n"/>
      <c r="X40" s="1" t="n"/>
    </row>
    <row r="41" ht="22" customHeight="1" s="110">
      <c r="A41" s="57" t="n">
        <v>36</v>
      </c>
      <c r="B41" s="29" t="n"/>
      <c r="C41" s="29" t="n"/>
      <c r="D41" s="29" t="n"/>
      <c r="E41" s="29" t="n"/>
      <c r="F41" s="29" t="n"/>
      <c r="G41" s="29" t="n"/>
      <c r="H41" s="29" t="n"/>
      <c r="I41" s="29" t="n"/>
      <c r="J41" s="29" t="n"/>
      <c r="K41" s="29" t="n"/>
      <c r="L41" s="29" t="n"/>
      <c r="M41" s="29" t="n"/>
      <c r="N41" s="29" t="n"/>
      <c r="O41" s="29" t="n"/>
      <c r="P41" s="29" t="n"/>
      <c r="Q41" s="29" t="n"/>
      <c r="R41" s="29" t="n"/>
      <c r="S41" s="29" t="n"/>
      <c r="T41" s="29" t="n"/>
      <c r="U41" s="29" t="n"/>
      <c r="V41" s="29" t="n"/>
      <c r="W41" s="29" t="n"/>
      <c r="X41" s="1" t="n"/>
    </row>
    <row r="42" ht="22" customHeight="1" s="110">
      <c r="A42" s="54" t="n">
        <v>37</v>
      </c>
      <c r="B42" s="28" t="n"/>
      <c r="C42" s="28" t="n"/>
      <c r="D42" s="28" t="n"/>
      <c r="E42" s="28" t="n"/>
      <c r="F42" s="28" t="n"/>
      <c r="G42" s="28" t="n"/>
      <c r="H42" s="28" t="n"/>
      <c r="I42" s="28" t="n"/>
      <c r="J42" s="28" t="n"/>
      <c r="K42" s="28" t="n"/>
      <c r="L42" s="28" t="n"/>
      <c r="M42" s="28" t="n"/>
      <c r="N42" s="28" t="n"/>
      <c r="O42" s="28" t="n"/>
      <c r="P42" s="28" t="n"/>
      <c r="Q42" s="28" t="n"/>
      <c r="R42" s="28" t="n"/>
      <c r="S42" s="28" t="n"/>
      <c r="T42" s="28" t="n"/>
      <c r="U42" s="28" t="n"/>
      <c r="V42" s="28" t="n"/>
      <c r="W42" s="28" t="n"/>
      <c r="X42" s="1" t="n"/>
    </row>
    <row r="43" ht="22" customHeight="1" s="110">
      <c r="A43" s="57" t="n">
        <v>38</v>
      </c>
      <c r="B43" s="29" t="n"/>
      <c r="C43" s="29" t="n"/>
      <c r="D43" s="29" t="n"/>
      <c r="E43" s="29" t="n"/>
      <c r="F43" s="29" t="n"/>
      <c r="G43" s="29" t="n"/>
      <c r="H43" s="29" t="n"/>
      <c r="I43" s="29" t="n"/>
      <c r="J43" s="29" t="n"/>
      <c r="K43" s="29" t="n"/>
      <c r="L43" s="29" t="n"/>
      <c r="M43" s="29" t="n"/>
      <c r="N43" s="29" t="n"/>
      <c r="O43" s="29" t="n"/>
      <c r="P43" s="29" t="n"/>
      <c r="Q43" s="29" t="n"/>
      <c r="R43" s="29" t="n"/>
      <c r="S43" s="29" t="n"/>
      <c r="T43" s="29" t="n"/>
      <c r="U43" s="29" t="n"/>
      <c r="V43" s="29" t="n"/>
      <c r="W43" s="29" t="n"/>
      <c r="X43" s="1" t="n"/>
    </row>
    <row r="44" ht="22" customHeight="1" s="110">
      <c r="A44" s="54" t="n">
        <v>39</v>
      </c>
      <c r="B44" s="28" t="n"/>
      <c r="C44" s="28" t="n"/>
      <c r="D44" s="28" t="n"/>
      <c r="E44" s="28" t="n"/>
      <c r="F44" s="28" t="n"/>
      <c r="G44" s="28" t="n"/>
      <c r="H44" s="28" t="n"/>
      <c r="I44" s="28" t="n"/>
      <c r="J44" s="28" t="n"/>
      <c r="K44" s="28" t="n"/>
      <c r="L44" s="28" t="n"/>
      <c r="M44" s="28" t="n"/>
      <c r="N44" s="28" t="n"/>
      <c r="O44" s="28" t="n"/>
      <c r="P44" s="28" t="n"/>
      <c r="Q44" s="28" t="n"/>
      <c r="R44" s="28" t="n"/>
      <c r="S44" s="28" t="n"/>
      <c r="T44" s="28" t="n"/>
      <c r="U44" s="28" t="n"/>
      <c r="V44" s="28" t="n"/>
      <c r="W44" s="28" t="n"/>
      <c r="X44" s="1" t="n"/>
    </row>
    <row r="45" ht="22" customHeight="1" s="110">
      <c r="A45" s="57" t="n">
        <v>40</v>
      </c>
      <c r="B45" s="29" t="n"/>
      <c r="C45" s="29" t="n"/>
      <c r="D45" s="29" t="n"/>
      <c r="E45" s="29" t="n"/>
      <c r="F45" s="29" t="n"/>
      <c r="G45" s="29" t="n"/>
      <c r="H45" s="29" t="n"/>
      <c r="I45" s="29" t="n"/>
      <c r="J45" s="29" t="n"/>
      <c r="K45" s="29" t="n"/>
      <c r="L45" s="29" t="n"/>
      <c r="M45" s="29" t="n"/>
      <c r="N45" s="29" t="n"/>
      <c r="O45" s="29" t="n"/>
      <c r="P45" s="29" t="n"/>
      <c r="Q45" s="29" t="n"/>
      <c r="R45" s="29" t="n"/>
      <c r="S45" s="29" t="n"/>
      <c r="T45" s="29" t="n"/>
      <c r="U45" s="29" t="n"/>
      <c r="V45" s="29" t="n"/>
      <c r="W45" s="29" t="n"/>
      <c r="X45" s="1" t="n"/>
    </row>
    <row r="46" ht="22" customHeight="1" s="110">
      <c r="A46" s="54" t="n">
        <v>41</v>
      </c>
      <c r="B46" s="28" t="n"/>
      <c r="C46" s="28" t="n"/>
      <c r="D46" s="28" t="n"/>
      <c r="E46" s="28" t="n"/>
      <c r="F46" s="28" t="n"/>
      <c r="G46" s="28" t="n"/>
      <c r="H46" s="28" t="n"/>
      <c r="I46" s="28" t="n"/>
      <c r="J46" s="28" t="n"/>
      <c r="K46" s="28" t="n"/>
      <c r="L46" s="28" t="n"/>
      <c r="M46" s="28" t="n"/>
      <c r="N46" s="28" t="n"/>
      <c r="O46" s="28" t="n"/>
      <c r="P46" s="28" t="n"/>
      <c r="Q46" s="28" t="n"/>
      <c r="R46" s="28" t="n"/>
      <c r="S46" s="28" t="n"/>
      <c r="T46" s="28" t="n"/>
      <c r="U46" s="28" t="n"/>
      <c r="V46" s="28" t="n"/>
      <c r="W46" s="28" t="n"/>
      <c r="X46" s="1" t="n"/>
    </row>
    <row r="47" ht="22" customHeight="1" s="110">
      <c r="A47" s="57" t="n">
        <v>42</v>
      </c>
      <c r="B47" s="29" t="n"/>
      <c r="C47" s="29" t="n"/>
      <c r="D47" s="29" t="n"/>
      <c r="E47" s="29" t="n"/>
      <c r="F47" s="29" t="n"/>
      <c r="G47" s="29" t="n"/>
      <c r="H47" s="29" t="n"/>
      <c r="I47" s="29" t="n"/>
      <c r="J47" s="29" t="n"/>
      <c r="K47" s="29" t="n"/>
      <c r="L47" s="29" t="n"/>
      <c r="M47" s="29" t="n"/>
      <c r="N47" s="29" t="n"/>
      <c r="O47" s="29" t="n"/>
      <c r="P47" s="29" t="n"/>
      <c r="Q47" s="29" t="n"/>
      <c r="R47" s="29" t="n"/>
      <c r="S47" s="29" t="n"/>
      <c r="T47" s="29" t="n"/>
      <c r="U47" s="29" t="n"/>
      <c r="V47" s="29" t="n"/>
      <c r="W47" s="29" t="n"/>
      <c r="X47" s="1" t="n"/>
    </row>
    <row r="48" ht="22" customHeight="1" s="110">
      <c r="A48" s="54" t="n">
        <v>43</v>
      </c>
      <c r="B48" s="28" t="n"/>
      <c r="C48" s="28" t="n"/>
      <c r="D48" s="28" t="n"/>
      <c r="E48" s="28" t="n"/>
      <c r="F48" s="28" t="n"/>
      <c r="G48" s="28" t="n"/>
      <c r="H48" s="28" t="n"/>
      <c r="I48" s="28" t="n"/>
      <c r="J48" s="28" t="n"/>
      <c r="K48" s="28" t="n"/>
      <c r="L48" s="28" t="n"/>
      <c r="M48" s="28" t="n"/>
      <c r="N48" s="28" t="n"/>
      <c r="O48" s="28" t="n"/>
      <c r="P48" s="28" t="n"/>
      <c r="Q48" s="28" t="n"/>
      <c r="R48" s="28" t="n"/>
      <c r="S48" s="28" t="n"/>
      <c r="T48" s="28" t="n"/>
      <c r="U48" s="28" t="n"/>
      <c r="V48" s="28" t="n"/>
      <c r="W48" s="28" t="n"/>
      <c r="X48" s="1" t="n"/>
    </row>
    <row r="49" ht="22" customHeight="1" s="110">
      <c r="A49" s="57" t="n">
        <v>44</v>
      </c>
      <c r="B49" s="29" t="n"/>
      <c r="C49" s="29" t="n"/>
      <c r="D49" s="29" t="n"/>
      <c r="E49" s="29" t="n"/>
      <c r="F49" s="29" t="n"/>
      <c r="G49" s="29" t="n"/>
      <c r="H49" s="29" t="n"/>
      <c r="I49" s="29" t="n"/>
      <c r="J49" s="29" t="n"/>
      <c r="K49" s="29" t="n"/>
      <c r="L49" s="29" t="n"/>
      <c r="M49" s="29" t="n"/>
      <c r="N49" s="29" t="n"/>
      <c r="O49" s="29" t="n"/>
      <c r="P49" s="29" t="n"/>
      <c r="Q49" s="29" t="n"/>
      <c r="R49" s="29" t="n"/>
      <c r="S49" s="29" t="n"/>
      <c r="T49" s="29" t="n"/>
      <c r="U49" s="29" t="n"/>
      <c r="V49" s="29" t="n"/>
      <c r="W49" s="29" t="n"/>
      <c r="X49" s="1" t="n"/>
    </row>
    <row r="50" ht="22" customHeight="1" s="110">
      <c r="A50" s="54" t="n">
        <v>45</v>
      </c>
      <c r="B50" s="28" t="n"/>
      <c r="C50" s="28" t="n"/>
      <c r="D50" s="28" t="n"/>
      <c r="E50" s="28" t="n"/>
      <c r="F50" s="28" t="n"/>
      <c r="G50" s="28" t="n"/>
      <c r="H50" s="28" t="n"/>
      <c r="I50" s="28" t="n"/>
      <c r="J50" s="28" t="n"/>
      <c r="K50" s="28" t="n"/>
      <c r="L50" s="28" t="n"/>
      <c r="M50" s="28" t="n"/>
      <c r="N50" s="28" t="n"/>
      <c r="O50" s="28" t="n"/>
      <c r="P50" s="28" t="n"/>
      <c r="Q50" s="28" t="n"/>
      <c r="R50" s="28" t="n"/>
      <c r="S50" s="28" t="n"/>
      <c r="T50" s="28" t="n"/>
      <c r="U50" s="28" t="n"/>
      <c r="V50" s="28" t="n"/>
      <c r="W50" s="28" t="n"/>
      <c r="X50" s="1" t="n"/>
    </row>
    <row r="51" ht="22" customHeight="1" s="110">
      <c r="A51" s="57" t="n">
        <v>46</v>
      </c>
      <c r="B51" s="29" t="n"/>
      <c r="C51" s="29" t="n"/>
      <c r="D51" s="29" t="n"/>
      <c r="E51" s="29" t="n"/>
      <c r="F51" s="29" t="n"/>
      <c r="G51" s="29" t="n"/>
      <c r="H51" s="29" t="n"/>
      <c r="I51" s="29" t="n"/>
      <c r="J51" s="29" t="n"/>
      <c r="K51" s="29" t="n"/>
      <c r="L51" s="29" t="n"/>
      <c r="M51" s="29" t="n"/>
      <c r="N51" s="29" t="n"/>
      <c r="O51" s="29" t="n"/>
      <c r="P51" s="29" t="n"/>
      <c r="Q51" s="29" t="n"/>
      <c r="R51" s="29" t="n"/>
      <c r="S51" s="29" t="n"/>
      <c r="T51" s="29" t="n"/>
      <c r="U51" s="29" t="n"/>
      <c r="V51" s="29" t="n"/>
      <c r="W51" s="29" t="n"/>
      <c r="X51" s="1" t="n"/>
    </row>
    <row r="52" ht="22" customHeight="1" s="110">
      <c r="A52" s="54" t="n">
        <v>47</v>
      </c>
      <c r="B52" s="28" t="n"/>
      <c r="C52" s="28" t="n"/>
      <c r="D52" s="28" t="n"/>
      <c r="E52" s="28" t="n"/>
      <c r="F52" s="28" t="n"/>
      <c r="G52" s="28" t="n"/>
      <c r="H52" s="28" t="n"/>
      <c r="I52" s="28" t="n"/>
      <c r="J52" s="28" t="n"/>
      <c r="K52" s="28" t="n"/>
      <c r="L52" s="28" t="n"/>
      <c r="M52" s="28" t="n"/>
      <c r="N52" s="28" t="n"/>
      <c r="O52" s="28" t="n"/>
      <c r="P52" s="28" t="n"/>
      <c r="Q52" s="28" t="n"/>
      <c r="R52" s="28" t="n"/>
      <c r="S52" s="28" t="n"/>
      <c r="T52" s="28" t="n"/>
      <c r="U52" s="28" t="n"/>
      <c r="V52" s="28" t="n"/>
      <c r="W52" s="28" t="n"/>
      <c r="X52" s="1" t="n"/>
    </row>
    <row r="53" ht="22" customHeight="1" s="110">
      <c r="A53" s="57" t="n">
        <v>48</v>
      </c>
      <c r="B53" s="29" t="n"/>
      <c r="C53" s="29" t="n"/>
      <c r="D53" s="29" t="n"/>
      <c r="E53" s="29" t="n"/>
      <c r="F53" s="29" t="n"/>
      <c r="G53" s="29" t="n"/>
      <c r="H53" s="29" t="n"/>
      <c r="I53" s="29" t="n"/>
      <c r="J53" s="29" t="n"/>
      <c r="K53" s="29" t="n"/>
      <c r="L53" s="29" t="n"/>
      <c r="M53" s="29" t="n"/>
      <c r="N53" s="29" t="n"/>
      <c r="O53" s="29" t="n"/>
      <c r="P53" s="29" t="n"/>
      <c r="Q53" s="29" t="n"/>
      <c r="R53" s="29" t="n"/>
      <c r="S53" s="29" t="n"/>
      <c r="T53" s="29" t="n"/>
      <c r="U53" s="29" t="n"/>
      <c r="V53" s="29" t="n"/>
      <c r="W53" s="29" t="n"/>
      <c r="X53" s="1" t="n"/>
    </row>
    <row r="54" ht="22" customHeight="1" s="110">
      <c r="A54" s="54" t="n">
        <v>49</v>
      </c>
      <c r="B54" s="28" t="n"/>
      <c r="C54" s="28" t="n"/>
      <c r="D54" s="28" t="n"/>
      <c r="E54" s="28" t="n"/>
      <c r="F54" s="28" t="n"/>
      <c r="G54" s="28" t="n"/>
      <c r="H54" s="28" t="n"/>
      <c r="I54" s="28" t="n"/>
      <c r="J54" s="28" t="n"/>
      <c r="K54" s="28" t="n"/>
      <c r="L54" s="28" t="n"/>
      <c r="M54" s="28" t="n"/>
      <c r="N54" s="28" t="n"/>
      <c r="O54" s="28" t="n"/>
      <c r="P54" s="28" t="n"/>
      <c r="Q54" s="28" t="n"/>
      <c r="R54" s="28" t="n"/>
      <c r="S54" s="28" t="n"/>
      <c r="T54" s="28" t="n"/>
      <c r="U54" s="28" t="n"/>
      <c r="V54" s="28" t="n"/>
      <c r="W54" s="28" t="n"/>
      <c r="X54" s="1" t="n"/>
    </row>
    <row r="55" ht="22" customHeight="1" s="110">
      <c r="A55" s="57" t="n">
        <v>50</v>
      </c>
      <c r="B55" s="29" t="n"/>
      <c r="C55" s="29" t="n"/>
      <c r="D55" s="29" t="n"/>
      <c r="E55" s="29" t="n"/>
      <c r="F55" s="29" t="n"/>
      <c r="G55" s="29" t="n"/>
      <c r="H55" s="29" t="n"/>
      <c r="I55" s="29" t="n"/>
      <c r="J55" s="29" t="n"/>
      <c r="K55" s="29" t="n"/>
      <c r="L55" s="29" t="n"/>
      <c r="M55" s="29" t="n"/>
      <c r="N55" s="29" t="n"/>
      <c r="O55" s="29" t="n"/>
      <c r="P55" s="29" t="n"/>
      <c r="Q55" s="29" t="n"/>
      <c r="R55" s="29" t="n"/>
      <c r="S55" s="29" t="n"/>
      <c r="T55" s="29" t="n"/>
      <c r="U55" s="29" t="n"/>
      <c r="V55" s="29" t="n"/>
      <c r="W55" s="29" t="n"/>
      <c r="X55" s="1" t="n"/>
    </row>
    <row r="56" ht="22" customHeight="1" s="110">
      <c r="A56" s="54" t="n">
        <v>51</v>
      </c>
      <c r="B56" s="28" t="n"/>
      <c r="C56" s="28" t="n"/>
      <c r="D56" s="28" t="n"/>
      <c r="E56" s="28" t="n"/>
      <c r="F56" s="28" t="n"/>
      <c r="G56" s="28" t="n"/>
      <c r="H56" s="28" t="n"/>
      <c r="I56" s="28" t="n"/>
      <c r="J56" s="28" t="n"/>
      <c r="K56" s="28" t="n"/>
      <c r="L56" s="28" t="n"/>
      <c r="M56" s="28" t="n"/>
      <c r="N56" s="28" t="n"/>
      <c r="O56" s="28" t="n"/>
      <c r="P56" s="28" t="n"/>
      <c r="Q56" s="28" t="n"/>
      <c r="R56" s="28" t="n"/>
      <c r="S56" s="28" t="n"/>
      <c r="T56" s="28" t="n"/>
      <c r="U56" s="28" t="n"/>
      <c r="V56" s="28" t="n"/>
      <c r="W56" s="28" t="n"/>
      <c r="X56" s="1" t="n"/>
    </row>
    <row r="57" ht="22" customHeight="1" s="110">
      <c r="A57" s="57" t="n">
        <v>52</v>
      </c>
      <c r="B57" s="29" t="n"/>
      <c r="C57" s="29" t="n"/>
      <c r="D57" s="29" t="n"/>
      <c r="E57" s="29" t="n"/>
      <c r="F57" s="29" t="n"/>
      <c r="G57" s="29" t="n"/>
      <c r="H57" s="29" t="n"/>
      <c r="I57" s="29" t="n"/>
      <c r="J57" s="29" t="n"/>
      <c r="K57" s="29" t="n"/>
      <c r="L57" s="29" t="n"/>
      <c r="M57" s="29" t="n"/>
      <c r="N57" s="29" t="n"/>
      <c r="O57" s="29" t="n"/>
      <c r="P57" s="29" t="n"/>
      <c r="Q57" s="29" t="n"/>
      <c r="R57" s="29" t="n"/>
      <c r="S57" s="29" t="n"/>
      <c r="T57" s="29" t="n"/>
      <c r="U57" s="29" t="n"/>
      <c r="V57" s="29" t="n"/>
      <c r="W57" s="29" t="n"/>
      <c r="X57" s="1" t="n"/>
    </row>
    <row r="58" ht="22" customHeight="1" s="110">
      <c r="A58" s="54" t="n">
        <v>53</v>
      </c>
      <c r="B58" s="28" t="n"/>
      <c r="C58" s="28" t="n"/>
      <c r="D58" s="28" t="n"/>
      <c r="E58" s="28" t="n"/>
      <c r="F58" s="28" t="n"/>
      <c r="G58" s="28" t="n"/>
      <c r="H58" s="28" t="n"/>
      <c r="I58" s="28" t="n"/>
      <c r="J58" s="28" t="n"/>
      <c r="K58" s="28" t="n"/>
      <c r="L58" s="28" t="n"/>
      <c r="M58" s="28" t="n"/>
      <c r="N58" s="28" t="n"/>
      <c r="O58" s="28" t="n"/>
      <c r="P58" s="28" t="n"/>
      <c r="Q58" s="28" t="n"/>
      <c r="R58" s="28" t="n"/>
      <c r="S58" s="28" t="n"/>
      <c r="T58" s="28" t="n"/>
      <c r="U58" s="28" t="n"/>
      <c r="V58" s="28" t="n"/>
      <c r="W58" s="28" t="n"/>
      <c r="X58" s="1" t="n"/>
    </row>
    <row r="59" ht="22" customHeight="1" s="110">
      <c r="A59" s="57" t="n">
        <v>54</v>
      </c>
      <c r="B59" s="29" t="n"/>
      <c r="C59" s="29" t="n"/>
      <c r="D59" s="29" t="n"/>
      <c r="E59" s="29" t="n"/>
      <c r="F59" s="29" t="n"/>
      <c r="G59" s="29" t="n"/>
      <c r="H59" s="29" t="n"/>
      <c r="I59" s="29" t="n"/>
      <c r="J59" s="29" t="n"/>
      <c r="K59" s="29" t="n"/>
      <c r="L59" s="29" t="n"/>
      <c r="M59" s="29" t="n"/>
      <c r="N59" s="29" t="n"/>
      <c r="O59" s="29" t="n"/>
      <c r="P59" s="29" t="n"/>
      <c r="Q59" s="29" t="n"/>
      <c r="R59" s="29" t="n"/>
      <c r="S59" s="29" t="n"/>
      <c r="T59" s="29" t="n"/>
      <c r="U59" s="29" t="n"/>
      <c r="V59" s="29" t="n"/>
      <c r="W59" s="29" t="n"/>
      <c r="X59" s="1" t="n"/>
    </row>
    <row r="60" ht="22" customHeight="1" s="110">
      <c r="A60" s="54" t="n">
        <v>55</v>
      </c>
      <c r="B60" s="28" t="n"/>
      <c r="C60" s="28" t="n"/>
      <c r="D60" s="28" t="n"/>
      <c r="E60" s="28" t="n"/>
      <c r="F60" s="28" t="n"/>
      <c r="G60" s="28" t="n"/>
      <c r="H60" s="28" t="n"/>
      <c r="I60" s="28" t="n"/>
      <c r="J60" s="28" t="n"/>
      <c r="K60" s="28" t="n"/>
      <c r="L60" s="28" t="n"/>
      <c r="M60" s="28" t="n"/>
      <c r="N60" s="28" t="n"/>
      <c r="O60" s="28" t="n"/>
      <c r="P60" s="28" t="n"/>
      <c r="Q60" s="28" t="n"/>
      <c r="R60" s="28" t="n"/>
      <c r="S60" s="28" t="n"/>
      <c r="T60" s="28" t="n"/>
      <c r="U60" s="28" t="n"/>
      <c r="V60" s="28" t="n"/>
      <c r="W60" s="28" t="n"/>
      <c r="X60" s="1" t="n"/>
    </row>
    <row r="61" ht="22" customHeight="1" s="110">
      <c r="A61" s="57" t="n">
        <v>56</v>
      </c>
      <c r="B61" s="29" t="n"/>
      <c r="C61" s="29" t="n"/>
      <c r="D61" s="29" t="n"/>
      <c r="E61" s="29" t="n"/>
      <c r="F61" s="29" t="n"/>
      <c r="G61" s="29" t="n"/>
      <c r="H61" s="29" t="n"/>
      <c r="I61" s="29" t="n"/>
      <c r="J61" s="29" t="n"/>
      <c r="K61" s="29" t="n"/>
      <c r="L61" s="29" t="n"/>
      <c r="M61" s="29" t="n"/>
      <c r="N61" s="29" t="n"/>
      <c r="O61" s="29" t="n"/>
      <c r="P61" s="29" t="n"/>
      <c r="Q61" s="29" t="n"/>
      <c r="R61" s="29" t="n"/>
      <c r="S61" s="29" t="n"/>
      <c r="T61" s="29" t="n"/>
      <c r="U61" s="29" t="n"/>
      <c r="V61" s="29" t="n"/>
      <c r="W61" s="29" t="n"/>
      <c r="X61" s="1" t="n"/>
    </row>
    <row r="62" ht="22" customHeight="1" s="110">
      <c r="A62" s="54" t="n">
        <v>57</v>
      </c>
      <c r="B62" s="28" t="n"/>
      <c r="C62" s="28" t="n"/>
      <c r="D62" s="28" t="n"/>
      <c r="E62" s="28" t="n"/>
      <c r="F62" s="28" t="n"/>
      <c r="G62" s="28" t="n"/>
      <c r="H62" s="28" t="n"/>
      <c r="I62" s="28" t="n"/>
      <c r="J62" s="28" t="n"/>
      <c r="K62" s="28" t="n"/>
      <c r="L62" s="28" t="n"/>
      <c r="M62" s="28" t="n"/>
      <c r="N62" s="28" t="n"/>
      <c r="O62" s="28" t="n"/>
      <c r="P62" s="28" t="n"/>
      <c r="Q62" s="28" t="n"/>
      <c r="R62" s="28" t="n"/>
      <c r="S62" s="28" t="n"/>
      <c r="T62" s="28" t="n"/>
      <c r="U62" s="28" t="n"/>
      <c r="V62" s="28" t="n"/>
      <c r="W62" s="28" t="n"/>
      <c r="X62" s="1" t="n"/>
    </row>
    <row r="63" ht="22" customHeight="1" s="110">
      <c r="A63" s="57" t="n">
        <v>58</v>
      </c>
      <c r="B63" s="29" t="n"/>
      <c r="C63" s="29" t="n"/>
      <c r="D63" s="29" t="n"/>
      <c r="E63" s="29" t="n"/>
      <c r="F63" s="29" t="n"/>
      <c r="G63" s="29" t="n"/>
      <c r="H63" s="29" t="n"/>
      <c r="I63" s="29" t="n"/>
      <c r="J63" s="29" t="n"/>
      <c r="K63" s="29" t="n"/>
      <c r="L63" s="29" t="n"/>
      <c r="M63" s="29" t="n"/>
      <c r="N63" s="29" t="n"/>
      <c r="O63" s="29" t="n"/>
      <c r="P63" s="29" t="n"/>
      <c r="Q63" s="29" t="n"/>
      <c r="R63" s="29" t="n"/>
      <c r="S63" s="29" t="n"/>
      <c r="T63" s="29" t="n"/>
      <c r="U63" s="29" t="n"/>
      <c r="V63" s="29" t="n"/>
      <c r="W63" s="29" t="n"/>
      <c r="X63" s="1" t="n"/>
    </row>
    <row r="64" ht="22" customHeight="1" s="110">
      <c r="A64" s="54" t="n">
        <v>59</v>
      </c>
      <c r="B64" s="28" t="n"/>
      <c r="C64" s="28" t="n"/>
      <c r="D64" s="28" t="n"/>
      <c r="E64" s="28" t="n"/>
      <c r="F64" s="28" t="n"/>
      <c r="G64" s="28" t="n"/>
      <c r="H64" s="28" t="n"/>
      <c r="I64" s="28" t="n"/>
      <c r="J64" s="28" t="n"/>
      <c r="K64" s="28" t="n"/>
      <c r="L64" s="28" t="n"/>
      <c r="M64" s="28" t="n"/>
      <c r="N64" s="28" t="n"/>
      <c r="O64" s="28" t="n"/>
      <c r="P64" s="28" t="n"/>
      <c r="Q64" s="28" t="n"/>
      <c r="R64" s="28" t="n"/>
      <c r="S64" s="28" t="n"/>
      <c r="T64" s="28" t="n"/>
      <c r="U64" s="28" t="n"/>
      <c r="V64" s="28" t="n"/>
      <c r="W64" s="28" t="n"/>
      <c r="X64" s="1" t="n"/>
    </row>
    <row r="65" ht="22" customHeight="1" s="110">
      <c r="A65" s="57" t="n">
        <v>60</v>
      </c>
      <c r="B65" s="29" t="n"/>
      <c r="C65" s="29" t="n"/>
      <c r="D65" s="29" t="n"/>
      <c r="E65" s="29" t="n"/>
      <c r="F65" s="29" t="n"/>
      <c r="G65" s="29" t="n"/>
      <c r="H65" s="29" t="n"/>
      <c r="I65" s="29" t="n"/>
      <c r="J65" s="29" t="n"/>
      <c r="K65" s="29" t="n"/>
      <c r="L65" s="29" t="n"/>
      <c r="M65" s="29" t="n"/>
      <c r="N65" s="29" t="n"/>
      <c r="O65" s="29" t="n"/>
      <c r="P65" s="29" t="n"/>
      <c r="Q65" s="29" t="n"/>
      <c r="R65" s="29" t="n"/>
      <c r="S65" s="29" t="n"/>
      <c r="T65" s="29" t="n"/>
      <c r="U65" s="29" t="n"/>
      <c r="V65" s="29" t="n"/>
      <c r="W65" s="29" t="n"/>
      <c r="X65" s="1" t="n"/>
    </row>
    <row r="66" ht="22" customHeight="1" s="110">
      <c r="A66" s="54" t="n">
        <v>61</v>
      </c>
      <c r="B66" s="28" t="n"/>
      <c r="C66" s="28" t="n"/>
      <c r="D66" s="28" t="n"/>
      <c r="E66" s="28" t="n"/>
      <c r="F66" s="28" t="n"/>
      <c r="G66" s="28" t="n"/>
      <c r="H66" s="28" t="n"/>
      <c r="I66" s="28" t="n"/>
      <c r="J66" s="28" t="n"/>
      <c r="K66" s="28" t="n"/>
      <c r="L66" s="28" t="n"/>
      <c r="M66" s="28" t="n"/>
      <c r="N66" s="28" t="n"/>
      <c r="O66" s="28" t="n"/>
      <c r="P66" s="28" t="n"/>
      <c r="Q66" s="28" t="n"/>
      <c r="R66" s="28" t="n"/>
      <c r="S66" s="28" t="n"/>
      <c r="T66" s="28" t="n"/>
      <c r="U66" s="28" t="n"/>
      <c r="V66" s="28" t="n"/>
      <c r="W66" s="28" t="n"/>
      <c r="X66" s="1" t="n"/>
    </row>
    <row r="67" ht="22" customHeight="1" s="110">
      <c r="A67" s="57" t="n">
        <v>62</v>
      </c>
      <c r="B67" s="29" t="n"/>
      <c r="C67" s="29" t="n"/>
      <c r="D67" s="29" t="n"/>
      <c r="E67" s="29" t="n"/>
      <c r="F67" s="29" t="n"/>
      <c r="G67" s="29" t="n"/>
      <c r="H67" s="29" t="n"/>
      <c r="I67" s="29" t="n"/>
      <c r="J67" s="29" t="n"/>
      <c r="K67" s="29" t="n"/>
      <c r="L67" s="29" t="n"/>
      <c r="M67" s="29" t="n"/>
      <c r="N67" s="29" t="n"/>
      <c r="O67" s="29" t="n"/>
      <c r="P67" s="29" t="n"/>
      <c r="Q67" s="29" t="n"/>
      <c r="R67" s="29" t="n"/>
      <c r="S67" s="29" t="n"/>
      <c r="T67" s="29" t="n"/>
      <c r="U67" s="29" t="n"/>
      <c r="V67" s="29" t="n"/>
      <c r="W67" s="29" t="n"/>
      <c r="X67" s="1" t="n"/>
    </row>
    <row r="68">
      <c r="A68" s="1" t="n"/>
      <c r="B68" s="1" t="n"/>
      <c r="C68" s="1" t="n"/>
      <c r="D68" s="1" t="n"/>
      <c r="E68" s="1" t="n"/>
      <c r="F68" s="1" t="n"/>
      <c r="G68" s="1" t="n"/>
      <c r="H68" s="1" t="n"/>
      <c r="I68" s="1" t="n"/>
      <c r="J68" s="1" t="n"/>
      <c r="K68" s="1" t="n"/>
      <c r="L68" s="1" t="n"/>
      <c r="M68" s="1" t="n"/>
      <c r="N68" s="1" t="n"/>
      <c r="O68" s="1" t="n"/>
      <c r="P68" s="1" t="n"/>
      <c r="Q68" s="1" t="n"/>
      <c r="R68" s="1" t="n"/>
      <c r="S68" s="1" t="n"/>
      <c r="T68" s="1" t="n"/>
      <c r="U68" s="1" t="n"/>
      <c r="V68" s="1" t="n"/>
      <c r="W68" s="1" t="n"/>
      <c r="X68" s="1" t="n"/>
    </row>
    <row r="69">
      <c r="A69" s="1" t="n"/>
      <c r="B69" s="1" t="n"/>
      <c r="C69" s="1" t="n"/>
      <c r="D69" s="1" t="n"/>
      <c r="E69" s="1" t="n"/>
      <c r="F69" s="1" t="n"/>
      <c r="G69" s="1" t="n"/>
      <c r="H69" s="1" t="n"/>
      <c r="I69" s="1" t="n"/>
      <c r="J69" s="1" t="n"/>
      <c r="K69" s="1" t="n"/>
      <c r="L69" s="1" t="n"/>
      <c r="M69" s="1" t="n"/>
      <c r="N69" s="1" t="n"/>
      <c r="O69" s="1" t="n"/>
      <c r="P69" s="1" t="n"/>
      <c r="Q69" s="1" t="n"/>
      <c r="R69" s="1" t="n"/>
      <c r="S69" s="1" t="n"/>
      <c r="T69" s="1" t="n"/>
      <c r="U69" s="1" t="n"/>
      <c r="V69" s="1" t="n"/>
      <c r="W69" s="1" t="n"/>
      <c r="X69" s="1" t="n"/>
    </row>
    <row r="70">
      <c r="A70" s="1" t="n"/>
      <c r="B70" s="1" t="n"/>
      <c r="C70" s="1" t="n"/>
      <c r="D70" s="1" t="n"/>
      <c r="E70" s="1" t="n"/>
      <c r="F70" s="1" t="n"/>
      <c r="G70" s="1" t="n"/>
      <c r="H70" s="1" t="n"/>
      <c r="I70" s="1" t="n"/>
      <c r="J70" s="1" t="n"/>
      <c r="K70" s="1" t="n"/>
      <c r="L70" s="1" t="n"/>
      <c r="M70" s="1" t="n"/>
      <c r="N70" s="1" t="n"/>
      <c r="O70" s="1" t="n"/>
      <c r="P70" s="1" t="n"/>
      <c r="Q70" s="1" t="n"/>
      <c r="R70" s="1" t="n"/>
      <c r="S70" s="1" t="n"/>
      <c r="T70" s="1" t="n"/>
      <c r="U70" s="1" t="n"/>
      <c r="V70" s="1" t="n"/>
      <c r="W70" s="1" t="n"/>
      <c r="X70" s="1" t="n"/>
    </row>
    <row r="71" ht="22" customHeight="1" s="110">
      <c r="A71" s="144" t="inlineStr">
        <is>
          <t xml:space="preserve">  👤 PROJETOS POR GERENTE (COUNTIF automático)</t>
        </is>
      </c>
      <c r="I71" s="1" t="n"/>
      <c r="J71" s="1" t="n"/>
      <c r="K71" s="1" t="n"/>
      <c r="L71" s="1" t="n"/>
      <c r="M71" s="1" t="n"/>
      <c r="N71" s="1" t="n"/>
      <c r="O71" s="1" t="n"/>
      <c r="P71" s="1" t="n"/>
      <c r="Q71" s="1" t="n"/>
      <c r="R71" s="1" t="n"/>
      <c r="S71" s="1" t="n"/>
      <c r="T71" s="1" t="n"/>
      <c r="U71" s="1" t="n"/>
      <c r="V71" s="1" t="n"/>
      <c r="W71" s="1" t="n"/>
      <c r="X71" s="1" t="n"/>
    </row>
    <row r="72" ht="20" customHeight="1" s="110">
      <c r="A72" s="49" t="inlineStr">
        <is>
          <t>Clarissa Haidar</t>
        </is>
      </c>
      <c r="B72" s="66">
        <f>COUNTIF(E6:E68,A72)</f>
        <v/>
      </c>
      <c r="C72" s="159">
        <f>COUNTIF(E6:E68,A72)&amp;" projetos"</f>
        <v/>
      </c>
      <c r="E72" s="1" t="n"/>
      <c r="F72" s="1" t="n"/>
      <c r="G72" s="1" t="n"/>
      <c r="H72" s="1" t="n"/>
      <c r="I72" s="1" t="n"/>
      <c r="J72" s="1" t="n"/>
      <c r="K72" s="1" t="n"/>
      <c r="L72" s="1" t="n"/>
      <c r="M72" s="1" t="n"/>
      <c r="N72" s="1" t="n"/>
      <c r="O72" s="1" t="n"/>
      <c r="P72" s="1" t="n"/>
      <c r="Q72" s="1" t="n"/>
      <c r="R72" s="1" t="n"/>
      <c r="S72" s="1" t="n"/>
      <c r="T72" s="1" t="n"/>
      <c r="U72" s="1" t="n"/>
      <c r="V72" s="1" t="n"/>
      <c r="W72" s="1" t="n"/>
      <c r="X72" s="1" t="n"/>
    </row>
    <row r="73" ht="20" customHeight="1" s="110">
      <c r="A73" s="52" t="inlineStr">
        <is>
          <t>Jessica Barbieri</t>
        </is>
      </c>
      <c r="B73" s="67">
        <f>COUNTIF(E6:E68,A73)</f>
        <v/>
      </c>
      <c r="C73" s="156">
        <f>COUNTIF(E6:E68,A73)&amp;" projetos"</f>
        <v/>
      </c>
      <c r="E73" s="1" t="n"/>
      <c r="F73" s="1" t="n"/>
      <c r="G73" s="1" t="n"/>
      <c r="H73" s="1" t="n"/>
      <c r="I73" s="1" t="n"/>
      <c r="J73" s="1" t="n"/>
      <c r="K73" s="1" t="n"/>
      <c r="L73" s="1" t="n"/>
      <c r="M73" s="1" t="n"/>
      <c r="N73" s="1" t="n"/>
      <c r="O73" s="1" t="n"/>
      <c r="P73" s="1" t="n"/>
      <c r="Q73" s="1" t="n"/>
      <c r="R73" s="1" t="n"/>
      <c r="S73" s="1" t="n"/>
      <c r="T73" s="1" t="n"/>
      <c r="U73" s="1" t="n"/>
      <c r="V73" s="1" t="n"/>
      <c r="W73" s="1" t="n"/>
      <c r="X73" s="1" t="n"/>
    </row>
    <row r="74" ht="20" customHeight="1" s="110">
      <c r="A74" s="49" t="inlineStr">
        <is>
          <t>Juan Herrera</t>
        </is>
      </c>
      <c r="B74" s="66">
        <f>COUNTIF(E6:E68,A74)</f>
        <v/>
      </c>
      <c r="C74" s="159">
        <f>COUNTIF(E6:E68,A74)&amp;" projetos"</f>
        <v/>
      </c>
      <c r="E74" s="1" t="n"/>
      <c r="F74" s="1" t="n"/>
      <c r="G74" s="1" t="n"/>
      <c r="H74" s="1" t="n"/>
      <c r="I74" s="1" t="n"/>
      <c r="J74" s="1" t="n"/>
      <c r="K74" s="1" t="n"/>
      <c r="L74" s="1" t="n"/>
      <c r="M74" s="1" t="n"/>
      <c r="N74" s="1" t="n"/>
      <c r="O74" s="1" t="n"/>
      <c r="P74" s="1" t="n"/>
      <c r="Q74" s="1" t="n"/>
      <c r="R74" s="1" t="n"/>
      <c r="S74" s="1" t="n"/>
      <c r="T74" s="1" t="n"/>
      <c r="U74" s="1" t="n"/>
      <c r="V74" s="1" t="n"/>
      <c r="W74" s="1" t="n"/>
      <c r="X74" s="1" t="n"/>
    </row>
    <row r="75" ht="20" customHeight="1" s="110">
      <c r="A75" s="52" t="inlineStr">
        <is>
          <t>Nathália Marques</t>
        </is>
      </c>
      <c r="B75" s="67">
        <f>COUNTIF(E6:E68,A75)</f>
        <v/>
      </c>
      <c r="C75" s="156">
        <f>COUNTIF(E6:E68,A75)&amp;" projetos"</f>
        <v/>
      </c>
      <c r="E75" s="1" t="n"/>
      <c r="F75" s="1" t="n"/>
      <c r="G75" s="1" t="n"/>
      <c r="H75" s="1" t="n"/>
      <c r="I75" s="1" t="n"/>
      <c r="J75" s="1" t="n"/>
      <c r="K75" s="1" t="n"/>
      <c r="L75" s="1" t="n"/>
      <c r="M75" s="1" t="n"/>
      <c r="N75" s="1" t="n"/>
      <c r="O75" s="1" t="n"/>
      <c r="P75" s="1" t="n"/>
      <c r="Q75" s="1" t="n"/>
      <c r="R75" s="1" t="n"/>
      <c r="S75" s="1" t="n"/>
      <c r="T75" s="1" t="n"/>
      <c r="U75" s="1" t="n"/>
      <c r="V75" s="1" t="n"/>
      <c r="W75" s="1" t="n"/>
      <c r="X75" s="1" t="n"/>
    </row>
    <row r="76">
      <c r="A76" s="1" t="n"/>
      <c r="B76" s="1" t="n"/>
      <c r="C76" s="1" t="n"/>
      <c r="D76" s="1" t="n"/>
      <c r="E76" s="1" t="n"/>
      <c r="F76" s="1" t="n"/>
      <c r="G76" s="1" t="n"/>
      <c r="H76" s="1" t="n"/>
      <c r="I76" s="1" t="n"/>
      <c r="J76" s="1" t="n"/>
      <c r="K76" s="1" t="n"/>
      <c r="L76" s="1" t="n"/>
      <c r="M76" s="1" t="n"/>
      <c r="N76" s="1" t="n"/>
      <c r="O76" s="1" t="n"/>
      <c r="P76" s="1" t="n"/>
      <c r="Q76" s="1" t="n"/>
      <c r="R76" s="1" t="n"/>
      <c r="S76" s="1" t="n"/>
      <c r="T76" s="1" t="n"/>
      <c r="U76" s="1" t="n"/>
      <c r="V76" s="1" t="n"/>
      <c r="W76" s="1" t="n"/>
      <c r="X76" s="1" t="n"/>
    </row>
    <row r="77">
      <c r="A77" s="1" t="n"/>
      <c r="B77" s="1" t="n"/>
      <c r="C77" s="1" t="n"/>
      <c r="D77" s="1" t="n"/>
      <c r="E77" s="1" t="n"/>
      <c r="F77" s="1" t="n"/>
      <c r="G77" s="1" t="n"/>
      <c r="H77" s="1" t="n"/>
      <c r="I77" s="1" t="n"/>
      <c r="J77" s="1" t="n"/>
      <c r="K77" s="1" t="n"/>
      <c r="L77" s="1" t="n"/>
      <c r="M77" s="1" t="n"/>
      <c r="N77" s="1" t="n"/>
      <c r="O77" s="1" t="n"/>
      <c r="P77" s="1" t="n"/>
      <c r="Q77" s="1" t="n"/>
      <c r="R77" s="1" t="n"/>
      <c r="S77" s="1" t="n"/>
      <c r="T77" s="1" t="n"/>
      <c r="U77" s="1" t="n"/>
      <c r="V77" s="1" t="n"/>
      <c r="W77" s="1" t="n"/>
      <c r="X77" s="1" t="n"/>
    </row>
    <row r="78">
      <c r="A78" s="1" t="n"/>
      <c r="B78" s="1" t="n"/>
      <c r="C78" s="1" t="n"/>
      <c r="D78" s="1" t="n"/>
      <c r="E78" s="1" t="n"/>
      <c r="F78" s="1" t="n"/>
      <c r="G78" s="1" t="n"/>
      <c r="H78" s="1" t="n"/>
      <c r="I78" s="1" t="n"/>
      <c r="J78" s="1" t="n"/>
      <c r="K78" s="1" t="n"/>
      <c r="L78" s="1" t="n"/>
      <c r="M78" s="1" t="n"/>
      <c r="N78" s="1" t="n"/>
      <c r="O78" s="1" t="n"/>
      <c r="P78" s="1" t="n"/>
      <c r="Q78" s="1" t="n"/>
      <c r="R78" s="1" t="n"/>
      <c r="S78" s="1" t="n"/>
      <c r="T78" s="1" t="n"/>
      <c r="U78" s="1" t="n"/>
      <c r="V78" s="1" t="n"/>
      <c r="W78" s="1" t="n"/>
      <c r="X78" s="1" t="n"/>
    </row>
    <row r="79">
      <c r="A79" s="1" t="n"/>
      <c r="B79" s="1" t="n"/>
      <c r="C79" s="1" t="n"/>
      <c r="D79" s="1" t="n"/>
      <c r="E79" s="1" t="n"/>
      <c r="F79" s="1" t="n"/>
      <c r="G79" s="1" t="n"/>
      <c r="H79" s="1" t="n"/>
      <c r="I79" s="1" t="n"/>
      <c r="J79" s="1" t="n"/>
      <c r="K79" s="1" t="n"/>
      <c r="L79" s="1" t="n"/>
      <c r="M79" s="1" t="n"/>
      <c r="N79" s="1" t="n"/>
      <c r="O79" s="1" t="n"/>
      <c r="P79" s="1" t="n"/>
      <c r="Q79" s="1" t="n"/>
      <c r="R79" s="1" t="n"/>
      <c r="S79" s="1" t="n"/>
      <c r="T79" s="1" t="n"/>
      <c r="U79" s="1" t="n"/>
      <c r="V79" s="1" t="n"/>
      <c r="W79" s="1" t="n"/>
      <c r="X79" s="1" t="n"/>
    </row>
    <row r="80">
      <c r="A80" s="1" t="n"/>
      <c r="B80" s="1" t="n"/>
      <c r="C80" s="1" t="n"/>
      <c r="D80" s="1" t="n"/>
      <c r="E80" s="1" t="n"/>
      <c r="F80" s="1" t="n"/>
      <c r="G80" s="1" t="n"/>
      <c r="H80" s="1" t="n"/>
      <c r="I80" s="1" t="n"/>
      <c r="J80" s="1" t="n"/>
      <c r="K80" s="1" t="n"/>
      <c r="L80" s="1" t="n"/>
      <c r="M80" s="1" t="n"/>
      <c r="N80" s="1" t="n"/>
      <c r="O80" s="1" t="n"/>
      <c r="P80" s="1" t="n"/>
      <c r="Q80" s="1" t="n"/>
      <c r="R80" s="1" t="n"/>
      <c r="S80" s="1" t="n"/>
      <c r="T80" s="1" t="n"/>
      <c r="U80" s="1" t="n"/>
      <c r="V80" s="1" t="n"/>
      <c r="W80" s="1" t="n"/>
      <c r="X80" s="1" t="n"/>
    </row>
    <row r="81">
      <c r="A81" s="1" t="n"/>
      <c r="B81" s="1" t="n"/>
      <c r="C81" s="1" t="n"/>
      <c r="D81" s="1" t="n"/>
      <c r="E81" s="1" t="n"/>
      <c r="F81" s="1" t="n"/>
      <c r="G81" s="1" t="n"/>
      <c r="H81" s="1" t="n"/>
      <c r="I81" s="1" t="n"/>
      <c r="J81" s="1" t="n"/>
      <c r="K81" s="1" t="n"/>
      <c r="L81" s="1" t="n"/>
      <c r="M81" s="1" t="n"/>
      <c r="N81" s="1" t="n"/>
      <c r="O81" s="1" t="n"/>
      <c r="P81" s="1" t="n"/>
      <c r="Q81" s="1" t="n"/>
      <c r="R81" s="1" t="n"/>
      <c r="S81" s="1" t="n"/>
      <c r="T81" s="1" t="n"/>
      <c r="U81" s="1" t="n"/>
      <c r="V81" s="1" t="n"/>
      <c r="W81" s="1" t="n"/>
      <c r="X81" s="1" t="n"/>
    </row>
    <row r="82">
      <c r="A82" s="1" t="n"/>
      <c r="B82" s="1" t="n"/>
      <c r="C82" s="1" t="n"/>
      <c r="D82" s="1" t="n"/>
      <c r="E82" s="1" t="n"/>
      <c r="F82" s="1" t="n"/>
      <c r="G82" s="1" t="n"/>
      <c r="H82" s="1" t="n"/>
      <c r="I82" s="1" t="n"/>
      <c r="J82" s="1" t="n"/>
      <c r="K82" s="1" t="n"/>
      <c r="L82" s="1" t="n"/>
      <c r="M82" s="1" t="n"/>
      <c r="N82" s="1" t="n"/>
      <c r="O82" s="1" t="n"/>
      <c r="P82" s="1" t="n"/>
      <c r="Q82" s="1" t="n"/>
      <c r="R82" s="1" t="n"/>
      <c r="S82" s="1" t="n"/>
      <c r="T82" s="1" t="n"/>
      <c r="U82" s="1" t="n"/>
      <c r="V82" s="1" t="n"/>
      <c r="W82" s="1" t="n"/>
      <c r="X82" s="1" t="n"/>
    </row>
    <row r="83">
      <c r="A83" s="1" t="n"/>
      <c r="B83" s="1" t="n"/>
      <c r="C83" s="1" t="n"/>
      <c r="D83" s="1" t="n"/>
      <c r="E83" s="1" t="n"/>
      <c r="F83" s="1" t="n"/>
      <c r="G83" s="1" t="n"/>
      <c r="H83" s="1" t="n"/>
      <c r="I83" s="1" t="n"/>
      <c r="J83" s="1" t="n"/>
      <c r="K83" s="1" t="n"/>
      <c r="L83" s="1" t="n"/>
      <c r="M83" s="1" t="n"/>
      <c r="N83" s="1" t="n"/>
      <c r="O83" s="1" t="n"/>
      <c r="P83" s="1" t="n"/>
      <c r="Q83" s="1" t="n"/>
      <c r="R83" s="1" t="n"/>
      <c r="S83" s="1" t="n"/>
      <c r="T83" s="1" t="n"/>
      <c r="U83" s="1" t="n"/>
      <c r="V83" s="1" t="n"/>
      <c r="W83" s="1" t="n"/>
      <c r="X83" s="1" t="n"/>
    </row>
    <row r="84">
      <c r="A84" s="1" t="n"/>
      <c r="B84" s="1" t="n"/>
      <c r="C84" s="1" t="n"/>
      <c r="D84" s="1" t="n"/>
      <c r="E84" s="1" t="n"/>
      <c r="F84" s="1" t="n"/>
      <c r="G84" s="1" t="n"/>
      <c r="H84" s="1" t="n"/>
      <c r="I84" s="1" t="n"/>
      <c r="J84" s="1" t="n"/>
      <c r="K84" s="1" t="n"/>
      <c r="L84" s="1" t="n"/>
      <c r="M84" s="1" t="n"/>
      <c r="N84" s="1" t="n"/>
      <c r="O84" s="1" t="n"/>
      <c r="P84" s="1" t="n"/>
      <c r="Q84" s="1" t="n"/>
      <c r="R84" s="1" t="n"/>
      <c r="S84" s="1" t="n"/>
      <c r="T84" s="1" t="n"/>
      <c r="U84" s="1" t="n"/>
      <c r="V84" s="1" t="n"/>
      <c r="W84" s="1" t="n"/>
      <c r="X84" s="1" t="n"/>
    </row>
    <row r="85">
      <c r="A85" s="1" t="n"/>
      <c r="B85" s="1" t="n"/>
      <c r="C85" s="1" t="n"/>
      <c r="D85" s="1" t="n"/>
      <c r="E85" s="1" t="n"/>
      <c r="F85" s="1" t="n"/>
      <c r="G85" s="1" t="n"/>
      <c r="H85" s="1" t="n"/>
      <c r="I85" s="1" t="n"/>
      <c r="J85" s="1" t="n"/>
      <c r="K85" s="1" t="n"/>
      <c r="L85" s="1" t="n"/>
      <c r="M85" s="1" t="n"/>
      <c r="N85" s="1" t="n"/>
      <c r="O85" s="1" t="n"/>
      <c r="P85" s="1" t="n"/>
      <c r="Q85" s="1" t="n"/>
      <c r="R85" s="1" t="n"/>
      <c r="S85" s="1" t="n"/>
      <c r="T85" s="1" t="n"/>
      <c r="U85" s="1" t="n"/>
      <c r="V85" s="1" t="n"/>
      <c r="W85" s="1" t="n"/>
      <c r="X85" s="1" t="n"/>
    </row>
    <row r="86">
      <c r="A86" s="1" t="n"/>
      <c r="B86" s="1" t="n"/>
      <c r="C86" s="1" t="n"/>
      <c r="D86" s="1" t="n"/>
      <c r="E86" s="1" t="n"/>
      <c r="F86" s="1" t="n"/>
      <c r="G86" s="1" t="n"/>
      <c r="H86" s="1" t="n"/>
      <c r="I86" s="1" t="n"/>
      <c r="J86" s="1" t="n"/>
      <c r="K86" s="1" t="n"/>
      <c r="L86" s="1" t="n"/>
      <c r="M86" s="1" t="n"/>
      <c r="N86" s="1" t="n"/>
      <c r="O86" s="1" t="n"/>
      <c r="P86" s="1" t="n"/>
      <c r="Q86" s="1" t="n"/>
      <c r="R86" s="1" t="n"/>
      <c r="S86" s="1" t="n"/>
      <c r="T86" s="1" t="n"/>
      <c r="U86" s="1" t="n"/>
      <c r="V86" s="1" t="n"/>
      <c r="W86" s="1" t="n"/>
      <c r="X86" s="1" t="n"/>
    </row>
    <row r="87">
      <c r="A87" s="1" t="n"/>
      <c r="B87" s="1" t="n"/>
      <c r="C87" s="1" t="n"/>
      <c r="D87" s="1" t="n"/>
      <c r="E87" s="1" t="n"/>
      <c r="F87" s="1" t="n"/>
      <c r="G87" s="1" t="n"/>
      <c r="H87" s="1" t="n"/>
      <c r="I87" s="1" t="n"/>
      <c r="J87" s="1" t="n"/>
      <c r="K87" s="1" t="n"/>
      <c r="L87" s="1" t="n"/>
      <c r="M87" s="1" t="n"/>
      <c r="N87" s="1" t="n"/>
      <c r="O87" s="1" t="n"/>
      <c r="P87" s="1" t="n"/>
      <c r="Q87" s="1" t="n"/>
      <c r="R87" s="1" t="n"/>
      <c r="S87" s="1" t="n"/>
      <c r="T87" s="1" t="n"/>
      <c r="U87" s="1" t="n"/>
      <c r="V87" s="1" t="n"/>
      <c r="W87" s="1" t="n"/>
      <c r="X87" s="1" t="n"/>
    </row>
    <row r="88">
      <c r="A88" s="1" t="n"/>
      <c r="B88" s="1" t="n"/>
      <c r="C88" s="1" t="n"/>
      <c r="D88" s="1" t="n"/>
      <c r="E88" s="1" t="n"/>
      <c r="F88" s="1" t="n"/>
      <c r="G88" s="1" t="n"/>
      <c r="H88" s="1" t="n"/>
      <c r="I88" s="1" t="n"/>
      <c r="J88" s="1" t="n"/>
      <c r="K88" s="1" t="n"/>
      <c r="L88" s="1" t="n"/>
      <c r="M88" s="1" t="n"/>
      <c r="N88" s="1" t="n"/>
      <c r="O88" s="1" t="n"/>
      <c r="P88" s="1" t="n"/>
      <c r="Q88" s="1" t="n"/>
      <c r="R88" s="1" t="n"/>
      <c r="S88" s="1" t="n"/>
      <c r="T88" s="1" t="n"/>
      <c r="U88" s="1" t="n"/>
      <c r="V88" s="1" t="n"/>
      <c r="W88" s="1" t="n"/>
      <c r="X88" s="1" t="n"/>
    </row>
    <row r="89">
      <c r="A89" s="1" t="n"/>
      <c r="B89" s="1" t="n"/>
      <c r="C89" s="1" t="n"/>
      <c r="D89" s="1" t="n"/>
      <c r="E89" s="1" t="n"/>
      <c r="F89" s="1" t="n"/>
      <c r="G89" s="1" t="n"/>
      <c r="H89" s="1" t="n"/>
      <c r="I89" s="1" t="n"/>
      <c r="J89" s="1" t="n"/>
      <c r="K89" s="1" t="n"/>
      <c r="L89" s="1" t="n"/>
      <c r="M89" s="1" t="n"/>
      <c r="N89" s="1" t="n"/>
      <c r="O89" s="1" t="n"/>
      <c r="P89" s="1" t="n"/>
      <c r="Q89" s="1" t="n"/>
      <c r="R89" s="1" t="n"/>
      <c r="S89" s="1" t="n"/>
      <c r="T89" s="1" t="n"/>
      <c r="U89" s="1" t="n"/>
      <c r="V89" s="1" t="n"/>
      <c r="W89" s="1" t="n"/>
      <c r="X89" s="1" t="n"/>
    </row>
    <row r="90">
      <c r="A90" s="1" t="n"/>
      <c r="B90" s="1" t="n"/>
      <c r="C90" s="1" t="n"/>
      <c r="D90" s="1" t="n"/>
      <c r="E90" s="1" t="n"/>
      <c r="F90" s="1" t="n"/>
      <c r="G90" s="1" t="n"/>
      <c r="H90" s="1" t="n"/>
      <c r="I90" s="1" t="n"/>
      <c r="J90" s="1" t="n"/>
      <c r="K90" s="1" t="n"/>
      <c r="L90" s="1" t="n"/>
      <c r="M90" s="1" t="n"/>
      <c r="N90" s="1" t="n"/>
      <c r="O90" s="1" t="n"/>
      <c r="P90" s="1" t="n"/>
      <c r="Q90" s="1" t="n"/>
      <c r="R90" s="1" t="n"/>
      <c r="S90" s="1" t="n"/>
      <c r="T90" s="1" t="n"/>
      <c r="U90" s="1" t="n"/>
      <c r="V90" s="1" t="n"/>
      <c r="W90" s="1" t="n"/>
      <c r="X90" s="1" t="n"/>
    </row>
    <row r="91">
      <c r="A91" s="1" t="n"/>
      <c r="B91" s="1" t="n"/>
      <c r="C91" s="1" t="n"/>
      <c r="D91" s="1" t="n"/>
      <c r="E91" s="1" t="n"/>
      <c r="F91" s="1" t="n"/>
      <c r="G91" s="1" t="n"/>
      <c r="H91" s="1" t="n"/>
      <c r="I91" s="1" t="n"/>
      <c r="J91" s="1" t="n"/>
      <c r="K91" s="1" t="n"/>
      <c r="L91" s="1" t="n"/>
      <c r="M91" s="1" t="n"/>
      <c r="N91" s="1" t="n"/>
      <c r="O91" s="1" t="n"/>
      <c r="P91" s="1" t="n"/>
      <c r="Q91" s="1" t="n"/>
      <c r="R91" s="1" t="n"/>
      <c r="S91" s="1" t="n"/>
      <c r="T91" s="1" t="n"/>
      <c r="U91" s="1" t="n"/>
      <c r="V91" s="1" t="n"/>
      <c r="W91" s="1" t="n"/>
      <c r="X91" s="1" t="n"/>
    </row>
  </sheetData>
  <mergeCells count="15">
    <mergeCell ref="P4:Q4"/>
    <mergeCell ref="A1:W1"/>
    <mergeCell ref="W4"/>
    <mergeCell ref="C72:D72"/>
    <mergeCell ref="A71:H71"/>
    <mergeCell ref="A2:W2"/>
    <mergeCell ref="R4:T4"/>
    <mergeCell ref="L4:O4"/>
    <mergeCell ref="C75:D75"/>
    <mergeCell ref="C74:D74"/>
    <mergeCell ref="I4:K4"/>
    <mergeCell ref="D4:H4"/>
    <mergeCell ref="A4:C4"/>
    <mergeCell ref="C73:D73"/>
    <mergeCell ref="U4:V4"/>
  </mergeCells>
  <conditionalFormatting sqref="E6:E200">
    <cfRule type="expression" priority="1" dxfId="4">
      <formula>ISNUMBER(SEARCH("To Do",E6))</formula>
    </cfRule>
    <cfRule type="expression" priority="2" dxfId="3">
      <formula>ISNUMBER(SEARCH("Doing",E6))</formula>
    </cfRule>
    <cfRule type="expression" priority="3" dxfId="2">
      <formula>ISNUMBER(SEARCH("Done",E6))</formula>
    </cfRule>
    <cfRule type="expression" priority="4" dxfId="1">
      <formula>ISNUMBER(SEARCH("Waiting",E6))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Planilha11">
    <tabColor rgb="FF7F8C8D"/>
    <outlinePr summaryBelow="1" summaryRight="1"/>
    <pageSetUpPr/>
  </sheetPr>
  <dimension ref="A1:D59"/>
  <sheetViews>
    <sheetView showGridLines="0" workbookViewId="0">
      <selection activeCell="A1" sqref="A1"/>
    </sheetView>
  </sheetViews>
  <sheetFormatPr baseColWidth="10" defaultColWidth="8.83203125" defaultRowHeight="15"/>
  <cols>
    <col width="3" customWidth="1" style="110" min="1" max="1"/>
    <col width="38" customWidth="1" style="110" min="2" max="2"/>
    <col width="65" customWidth="1" style="110" min="3" max="3"/>
    <col width="35" customWidth="1" style="110" min="4" max="4"/>
  </cols>
  <sheetData>
    <row r="1" ht="40" customHeight="1" s="110">
      <c r="A1" s="1" t="inlineStr">
        <is>
          <t>l</t>
        </is>
      </c>
      <c r="B1" s="145" t="inlineStr">
        <is>
          <t xml:space="preserve">  📌 FÓRMULAS ÚTEIS — REFERÊNCIA RÁPIDA</t>
        </is>
      </c>
    </row>
    <row r="2" ht="22" customHeight="1" s="110">
      <c r="A2" s="1" t="n"/>
      <c r="B2" s="2" t="inlineStr">
        <is>
          <t>Descrição</t>
        </is>
      </c>
      <c r="C2" s="2" t="inlineStr">
        <is>
          <t>Fórmula</t>
        </is>
      </c>
      <c r="D2" s="2" t="inlineStr">
        <is>
          <t>Observação</t>
        </is>
      </c>
    </row>
    <row r="3" ht="22" customHeight="1" s="110">
      <c r="A3" s="1" t="n"/>
      <c r="B3" s="23" t="inlineStr">
        <is>
          <t>HYPERLINK para célula na mesma pasta</t>
        </is>
      </c>
      <c r="C3" s="68">
        <f>HYPERLINK("#'Projetos TP Status-FY25'!B42","Dorf Ketal_FY25")</f>
        <v/>
      </c>
      <c r="D3" s="69" t="inlineStr">
        <is>
          <t>Navegar para célula específica</t>
        </is>
      </c>
    </row>
    <row r="4" ht="22" customHeight="1" s="110">
      <c r="A4" s="1" t="n"/>
      <c r="B4" s="19" t="inlineStr">
        <is>
          <t>VLOOKUP por GTB → Nome do Cliente</t>
        </is>
      </c>
      <c r="C4" s="70">
        <f>VLOOKUP(C6,'Projetos TP Status-FY25'!B:D,{-1},0)</f>
        <v/>
      </c>
      <c r="D4" s="71" t="inlineStr">
        <is>
          <t>GTB na col D, cliente na col B</t>
        </is>
      </c>
    </row>
    <row r="5" ht="22" customHeight="1" s="110">
      <c r="A5" s="1" t="n"/>
      <c r="B5" s="23" t="inlineStr">
        <is>
          <t>Contar projetos de um gerente</t>
        </is>
      </c>
      <c r="C5" s="68">
        <f>COUNTIF('Projetos TP Status-FY25'!E:E,"João Silva")</f>
        <v/>
      </c>
      <c r="D5" s="69" t="inlineStr">
        <is>
          <t>Substituir nome do gerente</t>
        </is>
      </c>
    </row>
    <row r="6" ht="22" customHeight="1" s="110">
      <c r="A6" s="1" t="n"/>
      <c r="B6" s="19" t="inlineStr">
        <is>
          <t>Dias até prazo</t>
        </is>
      </c>
      <c r="C6" s="70">
        <f>MAX(0, DATA_PRAZO - HOJE())</f>
        <v/>
      </c>
      <c r="D6" s="71" t="inlineStr">
        <is>
          <t>Nunca negativo com MAX(0,...)</t>
        </is>
      </c>
    </row>
    <row r="7" ht="22" customHeight="1" s="110">
      <c r="A7" s="1" t="n"/>
      <c r="B7" s="23" t="inlineStr">
        <is>
          <t>% conclusão ECF em todo o Doing</t>
        </is>
      </c>
      <c r="C7" s="68">
        <f>COUNTIF([1]Doing!N:N,"Done")/COUNTIF([1]Doing!A:A,"📁")</f>
        <v/>
      </c>
      <c r="D7" s="69" t="inlineStr">
        <is>
          <t>Contar Done / total projetos</t>
        </is>
      </c>
    </row>
    <row r="8" ht="22" customHeight="1" s="110">
      <c r="A8" s="1" t="n"/>
      <c r="B8" s="19" t="inlineStr">
        <is>
          <t>Verificar se prazo está vencido</t>
        </is>
      </c>
      <c r="C8" s="70">
        <f>SE(DATA&lt;HOJE(),"VENCIDO","Em dia")</f>
        <v/>
      </c>
      <c r="D8" s="71" t="n"/>
    </row>
    <row r="9" ht="22" customHeight="1" s="110">
      <c r="A9" s="1" t="n"/>
      <c r="B9" s="23" t="inlineStr">
        <is>
          <t>Buscar tarefa por status</t>
        </is>
      </c>
      <c r="C9" s="68">
        <f>IFERROR(VLOOKUP("Doing",K6:K500,1,0),"Nenhuma tarefa Doing")</f>
        <v/>
      </c>
      <c r="D9" s="69" t="n"/>
    </row>
    <row r="10" ht="22" customHeight="1" s="110">
      <c r="A10" s="1" t="n"/>
      <c r="B10" s="19" t="inlineStr">
        <is>
          <t>Data daqui a X semanas</t>
        </is>
      </c>
      <c r="C10" s="70">
        <f>HOJE()+7*X</f>
        <v/>
      </c>
      <c r="D10" s="71" t="inlineStr">
        <is>
          <t>Substituir X pelo número de semanas</t>
        </is>
      </c>
    </row>
    <row r="11" ht="22" customHeight="1" s="110">
      <c r="A11" s="1" t="n"/>
      <c r="B11" s="23" t="inlineStr">
        <is>
          <t>Formatar data BR</t>
        </is>
      </c>
      <c r="C11" s="68">
        <f>TEXTO(A1,"DD/MM/AAAA")</f>
        <v/>
      </c>
      <c r="D11" s="69" t="n"/>
    </row>
    <row r="12" ht="22" customHeight="1" s="110">
      <c r="A12" s="1" t="n"/>
      <c r="B12" s="19" t="inlineStr">
        <is>
          <t>Contar itens Waiting no Doing</t>
        </is>
      </c>
      <c r="C12" s="70">
        <f>COUNTIF([1]Doing!F6:F500,"*Waiting*")</f>
        <v/>
      </c>
      <c r="D12" s="71" t="inlineStr">
        <is>
          <t>Usando wildcard</t>
        </is>
      </c>
    </row>
    <row r="13">
      <c r="A13" s="1" t="n"/>
      <c r="B13" s="1" t="n"/>
      <c r="C13" s="1" t="n"/>
      <c r="D13" s="1" t="n"/>
    </row>
    <row r="14">
      <c r="A14" s="1" t="n"/>
      <c r="B14" s="1" t="n"/>
      <c r="C14" s="1" t="n"/>
      <c r="D14" s="1" t="n"/>
    </row>
    <row r="15">
      <c r="A15" s="1" t="n"/>
      <c r="B15" s="1" t="n"/>
      <c r="C15" s="1" t="n"/>
      <c r="D15" s="1" t="n"/>
    </row>
    <row r="16">
      <c r="A16" s="1" t="n"/>
      <c r="B16" s="1" t="n"/>
      <c r="C16" s="1" t="n"/>
      <c r="D16" s="1" t="n"/>
    </row>
    <row r="17">
      <c r="A17" s="1" t="n"/>
      <c r="B17" s="1" t="n"/>
      <c r="C17" s="1" t="n"/>
      <c r="D17" s="1" t="n"/>
    </row>
    <row r="18">
      <c r="A18" s="1" t="n"/>
      <c r="B18" s="1" t="n"/>
      <c r="C18" s="1" t="n"/>
      <c r="D18" s="1" t="n"/>
    </row>
    <row r="19">
      <c r="A19" s="1" t="n"/>
      <c r="B19" s="1" t="n"/>
      <c r="C19" s="1" t="n"/>
      <c r="D19" s="1" t="n"/>
    </row>
    <row r="20">
      <c r="A20" s="1" t="n"/>
      <c r="B20" s="1" t="n"/>
      <c r="C20" s="1" t="n"/>
      <c r="D20" s="1" t="n"/>
    </row>
    <row r="21">
      <c r="A21" s="1" t="n"/>
      <c r="B21" s="1" t="n"/>
      <c r="C21" s="1" t="n"/>
      <c r="D21" s="1" t="n"/>
    </row>
    <row r="22">
      <c r="A22" s="1" t="n"/>
      <c r="B22" s="1" t="n"/>
      <c r="C22" s="1" t="n"/>
      <c r="D22" s="1" t="n"/>
    </row>
    <row r="23">
      <c r="A23" s="1" t="n"/>
      <c r="B23" s="1" t="n"/>
      <c r="C23" s="1" t="n"/>
      <c r="D23" s="1" t="n"/>
    </row>
    <row r="24">
      <c r="A24" s="1" t="n"/>
      <c r="B24" s="1" t="n"/>
      <c r="C24" s="1" t="n"/>
      <c r="D24" s="1" t="n"/>
    </row>
    <row r="25">
      <c r="A25" s="1" t="n"/>
      <c r="B25" s="1" t="n"/>
      <c r="C25" s="1" t="n"/>
      <c r="D25" s="1" t="n"/>
    </row>
    <row r="26">
      <c r="A26" s="1" t="n"/>
      <c r="B26" s="1" t="n"/>
      <c r="C26" s="1" t="n"/>
      <c r="D26" s="1" t="n"/>
    </row>
    <row r="27">
      <c r="A27" s="1" t="n"/>
      <c r="B27" s="1" t="n"/>
      <c r="C27" s="1" t="n"/>
      <c r="D27" s="1" t="n"/>
    </row>
    <row r="28">
      <c r="A28" s="1" t="n"/>
      <c r="B28" s="1" t="n"/>
      <c r="C28" s="1" t="n"/>
      <c r="D28" s="1" t="n"/>
    </row>
    <row r="29">
      <c r="A29" s="1" t="n"/>
      <c r="B29" s="1" t="n"/>
      <c r="C29" s="1" t="n"/>
      <c r="D29" s="1" t="n"/>
    </row>
    <row r="30">
      <c r="A30" s="1" t="n"/>
      <c r="B30" s="1" t="n"/>
      <c r="C30" s="1" t="n"/>
      <c r="D30" s="1" t="n"/>
    </row>
    <row r="31">
      <c r="A31" s="1" t="n"/>
      <c r="B31" s="1" t="n"/>
      <c r="C31" s="1" t="n"/>
      <c r="D31" s="1" t="n"/>
    </row>
    <row r="32">
      <c r="A32" s="1" t="n"/>
      <c r="B32" s="1" t="n"/>
      <c r="C32" s="1" t="n"/>
      <c r="D32" s="1" t="n"/>
    </row>
    <row r="33">
      <c r="A33" s="1" t="n"/>
      <c r="B33" s="1" t="n"/>
      <c r="C33" s="1" t="n"/>
      <c r="D33" s="1" t="n"/>
    </row>
    <row r="34">
      <c r="A34" s="1" t="n"/>
      <c r="B34" s="1" t="n"/>
      <c r="C34" s="1" t="n"/>
      <c r="D34" s="1" t="n"/>
    </row>
    <row r="35">
      <c r="A35" s="1" t="n"/>
      <c r="B35" s="1" t="n"/>
      <c r="C35" s="1" t="n"/>
      <c r="D35" s="1" t="n"/>
    </row>
    <row r="36">
      <c r="A36" s="1" t="n"/>
      <c r="B36" s="1" t="n"/>
      <c r="C36" s="1" t="n"/>
      <c r="D36" s="1" t="n"/>
    </row>
    <row r="37">
      <c r="A37" s="1" t="n"/>
      <c r="B37" s="1" t="n"/>
      <c r="C37" s="1" t="n"/>
      <c r="D37" s="1" t="n"/>
    </row>
    <row r="38">
      <c r="A38" s="1" t="n"/>
      <c r="B38" s="1" t="n"/>
      <c r="C38" s="1" t="n"/>
      <c r="D38" s="1" t="n"/>
    </row>
    <row r="39">
      <c r="A39" s="1" t="n"/>
      <c r="B39" s="1" t="n"/>
      <c r="C39" s="1" t="n"/>
      <c r="D39" s="1" t="n"/>
    </row>
    <row r="40">
      <c r="A40" s="1" t="n"/>
      <c r="B40" s="1" t="n"/>
      <c r="C40" s="1" t="n"/>
      <c r="D40" s="1" t="n"/>
    </row>
    <row r="41">
      <c r="A41" s="1" t="n"/>
      <c r="B41" s="1" t="n"/>
      <c r="C41" s="1" t="n"/>
      <c r="D41" s="1" t="n"/>
    </row>
    <row r="42">
      <c r="A42" s="1" t="n"/>
      <c r="B42" s="1" t="n"/>
      <c r="C42" s="1" t="n"/>
      <c r="D42" s="1" t="n"/>
    </row>
    <row r="43">
      <c r="A43" s="1" t="n"/>
      <c r="B43" s="1" t="n"/>
      <c r="C43" s="1" t="n"/>
      <c r="D43" s="1" t="n"/>
    </row>
    <row r="44">
      <c r="A44" s="1" t="n"/>
      <c r="B44" s="1" t="n"/>
      <c r="C44" s="1" t="n"/>
      <c r="D44" s="1" t="n"/>
    </row>
    <row r="45">
      <c r="A45" s="1" t="n"/>
      <c r="B45" s="1" t="n"/>
      <c r="C45" s="1" t="n"/>
      <c r="D45" s="1" t="n"/>
    </row>
    <row r="46">
      <c r="A46" s="1" t="n"/>
      <c r="B46" s="1" t="n"/>
      <c r="C46" s="1" t="n"/>
      <c r="D46" s="1" t="n"/>
    </row>
    <row r="47">
      <c r="A47" s="1" t="n"/>
      <c r="B47" s="1" t="n"/>
      <c r="C47" s="1" t="n"/>
      <c r="D47" s="1" t="n"/>
    </row>
    <row r="48">
      <c r="A48" s="1" t="n"/>
      <c r="B48" s="1" t="n"/>
      <c r="C48" s="1" t="n"/>
      <c r="D48" s="1" t="n"/>
    </row>
    <row r="49">
      <c r="A49" s="1" t="n"/>
      <c r="B49" s="1" t="n"/>
      <c r="C49" s="1" t="n"/>
      <c r="D49" s="1" t="n"/>
    </row>
    <row r="50">
      <c r="A50" s="1" t="n"/>
      <c r="B50" s="1" t="n"/>
      <c r="C50" s="1" t="n"/>
      <c r="D50" s="1" t="n"/>
    </row>
    <row r="51">
      <c r="A51" s="1" t="n"/>
      <c r="B51" s="1" t="n"/>
      <c r="C51" s="1" t="n"/>
      <c r="D51" s="1" t="n"/>
    </row>
    <row r="52">
      <c r="A52" s="1" t="n"/>
      <c r="B52" s="1" t="n"/>
      <c r="C52" s="1" t="n"/>
      <c r="D52" s="1" t="n"/>
    </row>
    <row r="53">
      <c r="A53" s="1" t="n"/>
      <c r="B53" s="1" t="n"/>
      <c r="C53" s="1" t="n"/>
      <c r="D53" s="1" t="n"/>
    </row>
    <row r="54">
      <c r="A54" s="1" t="n"/>
      <c r="B54" s="1" t="n"/>
      <c r="C54" s="1" t="n"/>
      <c r="D54" s="1" t="n"/>
    </row>
    <row r="55">
      <c r="A55" s="1" t="n"/>
      <c r="B55" s="1" t="n"/>
      <c r="C55" s="1" t="n"/>
      <c r="D55" s="1" t="n"/>
    </row>
    <row r="56">
      <c r="A56" s="1" t="n"/>
      <c r="B56" s="1" t="n"/>
      <c r="C56" s="1" t="n"/>
      <c r="D56" s="1" t="n"/>
    </row>
    <row r="57">
      <c r="A57" s="1" t="n"/>
      <c r="B57" s="1" t="n"/>
      <c r="C57" s="1" t="n"/>
      <c r="D57" s="1" t="n"/>
    </row>
    <row r="58">
      <c r="A58" s="1" t="n"/>
      <c r="B58" s="1" t="n"/>
      <c r="C58" s="1" t="n"/>
      <c r="D58" s="1" t="n"/>
    </row>
    <row r="59">
      <c r="A59" s="1" t="n"/>
      <c r="B59" s="1" t="n"/>
      <c r="C59" s="1" t="n"/>
      <c r="D59" s="1" t="n"/>
    </row>
  </sheetData>
  <mergeCells count="1">
    <mergeCell ref="B1:D1"/>
  </mergeCells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B2:I18"/>
  <sheetViews>
    <sheetView workbookViewId="0">
      <selection activeCell="H37" sqref="H37"/>
    </sheetView>
  </sheetViews>
  <sheetFormatPr baseColWidth="10" defaultColWidth="8.83203125" defaultRowHeight="15"/>
  <cols>
    <col width="28" customWidth="1" style="110" min="1" max="9"/>
  </cols>
  <sheetData>
    <row r="2" ht="30" customHeight="1" s="110">
      <c r="B2" s="167" t="inlineStr">
        <is>
          <t>📬  SOLICITAÇÕES E PENDÊNCIAS — DETALHE COMPLETO</t>
        </is>
      </c>
    </row>
    <row r="4" ht="28" customHeight="1" s="110">
      <c r="B4" s="166" t="inlineStr">
        <is>
          <t>SOLICITAÇÕES ATIVAS</t>
        </is>
      </c>
    </row>
    <row r="5">
      <c r="B5" s="83" t="inlineStr">
        <is>
          <t>Projeto</t>
        </is>
      </c>
      <c r="C5" s="83" t="inlineStr">
        <is>
          <t>Solicitação</t>
        </is>
      </c>
      <c r="D5" s="83" t="inlineStr">
        <is>
          <t>Início</t>
        </is>
      </c>
      <c r="E5" s="83" t="inlineStr">
        <is>
          <t>Repetir até</t>
        </is>
      </c>
      <c r="F5" s="83" t="inlineStr">
        <is>
          <t>Frequência</t>
        </is>
      </c>
      <c r="G5" s="83" t="inlineStr">
        <is>
          <t>Status</t>
        </is>
      </c>
      <c r="H5" s="83" t="inlineStr">
        <is>
          <t>Comentário</t>
        </is>
      </c>
    </row>
    <row r="6">
      <c r="B6" s="79" t="n"/>
    </row>
    <row r="16" ht="28" customHeight="1" s="110">
      <c r="B16" s="165" t="inlineStr">
        <is>
          <t>PENDÊNCIAS ATIVAS</t>
        </is>
      </c>
    </row>
    <row r="17">
      <c r="B17" s="82" t="inlineStr">
        <is>
          <t>Projeto</t>
        </is>
      </c>
      <c r="C17" s="82" t="inlineStr">
        <is>
          <t>Solicitação</t>
        </is>
      </c>
      <c r="D17" s="82" t="inlineStr">
        <is>
          <t>Início</t>
        </is>
      </c>
      <c r="E17" s="82" t="inlineStr">
        <is>
          <t>Repetir até</t>
        </is>
      </c>
      <c r="F17" s="82" t="inlineStr">
        <is>
          <t>Frequência</t>
        </is>
      </c>
      <c r="G17" s="82" t="inlineStr">
        <is>
          <t>Status</t>
        </is>
      </c>
      <c r="H17" s="82" t="inlineStr">
        <is>
          <t>Comentário</t>
        </is>
      </c>
    </row>
    <row r="18">
      <c r="B18" s="79" t="n"/>
    </row>
  </sheetData>
  <mergeCells count="3">
    <mergeCell ref="B16:H16"/>
    <mergeCell ref="B4:H4"/>
    <mergeCell ref="B2:I2"/>
  </mergeCells>
  <pageMargins left="0.75" right="0.75" top="1" bottom="1" header="0.5" footer="0.5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B2:G32"/>
  <sheetViews>
    <sheetView workbookViewId="0">
      <selection activeCell="A1" sqref="A1"/>
    </sheetView>
  </sheetViews>
  <sheetFormatPr baseColWidth="10" defaultColWidth="8.83203125" defaultRowHeight="15"/>
  <cols>
    <col width="80" customWidth="1" style="110" min="2" max="2"/>
  </cols>
  <sheetData>
    <row r="2" ht="30" customHeight="1" s="110">
      <c r="B2" s="169" t="inlineStr">
        <is>
          <t>TEMPLATES DE E-MAIL PADRÃO</t>
        </is>
      </c>
    </row>
    <row r="4" ht="24" customHeight="1" s="110">
      <c r="B4" s="170" t="inlineStr">
        <is>
          <t>ECF — Confirmação de Submissão (Prazo: 31 de Julho)</t>
        </is>
      </c>
    </row>
    <row r="5" ht="18" customHeight="1" s="110">
      <c r="B5" s="168" t="inlineStr">
        <is>
          <t>Prezado(a) [Nome do Cliente],
Esperamos que esteja bem. Passamos para lembrá-lo(a) de que o prazo para submissão da Escrituração Contábil Fiscal (ECF) junto à Receita Federal é 31 de julho.
Gentileza confirmar se a submissão já foi realizada ou se há alguma pendência que possamos apoiar.
Aguardamos retorno.
Atenciosamente,
[Seu Nome] — [Empresa]</t>
        </is>
      </c>
    </row>
    <row r="6" ht="18" customHeight="1" s="110"/>
    <row r="7" ht="18" customHeight="1" s="110"/>
    <row r="8" ht="18" customHeight="1" s="110"/>
    <row r="9" ht="18" customHeight="1" s="110"/>
    <row r="10" ht="18" customHeight="1" s="110"/>
    <row r="11" ht="18" customHeight="1" s="110"/>
    <row r="12" ht="18" customHeight="1" s="110"/>
    <row r="14" ht="24" customHeight="1" s="110">
      <c r="B14" s="170" t="inlineStr">
        <is>
          <t>Local File — Confirmação de Submissão (Prazo: 31 de Outubro)</t>
        </is>
      </c>
    </row>
    <row r="15" ht="18" customHeight="1" s="110">
      <c r="B15" s="168" t="inlineStr">
        <is>
          <t>Prezado(a) [Nome do Cliente],
Conforme nosso cronograma de entregáveis de preços de transferência, o prazo para a entrega do Local File é 31 de outubro.
Gentileza confirmar se há alguma informação pendente de sua parte para que possamos finalizar o relatório dentro do prazo.
Aguardamos retorno.
Atenciosamente,
[Seu Nome] — [Empresa]</t>
        </is>
      </c>
    </row>
    <row r="16" ht="18" customHeight="1" s="110"/>
    <row r="17" ht="18" customHeight="1" s="110"/>
    <row r="18" ht="18" customHeight="1" s="110"/>
    <row r="19" ht="18" customHeight="1" s="110"/>
    <row r="20" ht="18" customHeight="1" s="110"/>
    <row r="21" ht="18" customHeight="1" s="110"/>
    <row r="22" ht="18" customHeight="1" s="110"/>
    <row r="24" ht="24" customHeight="1" s="110">
      <c r="B24" s="170" t="inlineStr">
        <is>
          <t>Master File — Solicitação de Documento (Prazo: 31 de Outubro)</t>
        </is>
      </c>
    </row>
    <row r="25" ht="18" customHeight="1" s="110">
      <c r="B25" s="168" t="inlineStr">
        <is>
          <t>Prezado(a) [Nome do Cliente],
Para a elaboração do relatório de preços de transferência (Local File), precisamos do Master File atualizado, conforme exigido pela legislação brasileira (IN RFB nº 1.312/2012).
Poderiam encaminhar o arquivo no formato adequado? O prazo necessário é até 31 de outubro.
Em caso de dúvidas sobre o formato exigido, estamos à disposição para orientar.
Atenciosamente,
[Seu Nome] — [Empresa]</t>
        </is>
      </c>
    </row>
    <row r="26" ht="18" customHeight="1" s="110"/>
    <row r="27" ht="18" customHeight="1" s="110"/>
    <row r="28" ht="18" customHeight="1" s="110"/>
    <row r="29" ht="18" customHeight="1" s="110"/>
    <row r="30" ht="18" customHeight="1" s="110"/>
    <row r="31" ht="18" customHeight="1" s="110"/>
    <row r="32" ht="18" customHeight="1" s="110"/>
  </sheetData>
  <mergeCells count="7">
    <mergeCell ref="B15:G22"/>
    <mergeCell ref="B2:G2"/>
    <mergeCell ref="B25:G32"/>
    <mergeCell ref="B24:G24"/>
    <mergeCell ref="B5:G12"/>
    <mergeCell ref="B14:G14"/>
    <mergeCell ref="B4:G4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Planilha12">
    <tabColor rgb="FF7F8C8D"/>
    <outlinePr summaryBelow="1" summaryRight="1"/>
    <pageSetUpPr/>
  </sheetPr>
  <dimension ref="A1:G79"/>
  <sheetViews>
    <sheetView showGridLines="0" workbookViewId="0">
      <selection activeCell="A1" sqref="A1"/>
    </sheetView>
  </sheetViews>
  <sheetFormatPr baseColWidth="10" defaultColWidth="8.83203125" defaultRowHeight="15"/>
  <cols>
    <col width="3" customWidth="1" style="110" min="1" max="1"/>
    <col width="8" customWidth="1" style="110" min="2" max="2"/>
    <col width="35" customWidth="1" style="110" min="3" max="3"/>
    <col width="3" customWidth="1" style="110" min="4" max="4"/>
    <col width="8" customWidth="1" style="110" min="5" max="5"/>
    <col width="35" customWidth="1" style="110" min="6" max="6"/>
    <col width="3" customWidth="1" style="110" min="7" max="7"/>
  </cols>
  <sheetData>
    <row r="1" ht="40" customHeight="1" s="110">
      <c r="A1" s="1" t="n"/>
      <c r="B1" s="145" t="inlineStr">
        <is>
          <t xml:space="preserve">  📌 BIBLIOTECA DE ÍCONES — REFERÊNCIA RÁPIDA</t>
        </is>
      </c>
      <c r="G1" s="1" t="n"/>
    </row>
    <row r="2" ht="10" customHeight="1" s="110">
      <c r="A2" s="1" t="n"/>
      <c r="B2" s="1" t="n"/>
      <c r="C2" s="1" t="n"/>
      <c r="D2" s="1" t="n"/>
      <c r="E2" s="1" t="n"/>
      <c r="F2" s="1" t="n"/>
      <c r="G2" s="1" t="n"/>
    </row>
    <row r="3" ht="26" customHeight="1" s="110">
      <c r="A3" s="1" t="n"/>
      <c r="B3" s="149" t="inlineStr">
        <is>
          <t xml:space="preserve">  ✅ ÍCONES UTILIZADOS NO ARQUIVO</t>
        </is>
      </c>
      <c r="D3" s="1" t="n"/>
      <c r="E3" s="182" t="inlineStr">
        <is>
          <t xml:space="preserve">  🆕 ÍCONES DISPONÍVEIS PARA USO</t>
        </is>
      </c>
      <c r="G3" s="1" t="n"/>
    </row>
    <row r="4" ht="22" customHeight="1" s="110">
      <c r="A4" s="1" t="n"/>
      <c r="B4" s="72" t="inlineStr">
        <is>
          <t>Ícone</t>
        </is>
      </c>
      <c r="C4" s="72" t="inlineStr">
        <is>
          <t>Descrição</t>
        </is>
      </c>
      <c r="D4" s="1" t="n"/>
      <c r="E4" s="73" t="inlineStr">
        <is>
          <t>Ícone</t>
        </is>
      </c>
      <c r="F4" s="73" t="inlineStr">
        <is>
          <t>Descrição</t>
        </is>
      </c>
      <c r="G4" s="1" t="n"/>
    </row>
    <row r="5" ht="20" customHeight="1" s="110">
      <c r="A5" s="1" t="n"/>
      <c r="B5" s="74" t="inlineStr">
        <is>
          <t>📁</t>
        </is>
      </c>
      <c r="C5" s="75" t="inlineStr">
        <is>
          <t>Projeto / Pasta</t>
        </is>
      </c>
      <c r="D5" s="1" t="n"/>
      <c r="E5" s="74" t="inlineStr">
        <is>
          <t>🎯</t>
        </is>
      </c>
      <c r="F5" s="75" t="inlineStr">
        <is>
          <t>Meta / Objetivo</t>
        </is>
      </c>
      <c r="G5" s="1" t="n"/>
    </row>
    <row r="6" ht="20" customHeight="1" s="110">
      <c r="A6" s="1" t="n"/>
      <c r="B6" s="76" t="inlineStr">
        <is>
          <t>📊</t>
        </is>
      </c>
      <c r="C6" s="12" t="inlineStr">
        <is>
          <t>Status / Gráfico</t>
        </is>
      </c>
      <c r="D6" s="1" t="n"/>
      <c r="E6" s="76" t="inlineStr">
        <is>
          <t>📈</t>
        </is>
      </c>
      <c r="F6" s="12" t="inlineStr">
        <is>
          <t>Progresso / Crescimento</t>
        </is>
      </c>
      <c r="G6" s="1" t="n"/>
    </row>
    <row r="7" ht="20" customHeight="1" s="110">
      <c r="A7" s="1" t="n"/>
      <c r="B7" s="74" t="inlineStr">
        <is>
          <t>💬</t>
        </is>
      </c>
      <c r="C7" s="75" t="inlineStr">
        <is>
          <t>Comentário</t>
        </is>
      </c>
      <c r="D7" s="1" t="n"/>
      <c r="E7" s="74" t="inlineStr">
        <is>
          <t>📉</t>
        </is>
      </c>
      <c r="F7" s="75" t="inlineStr">
        <is>
          <t>Queda / Problema</t>
        </is>
      </c>
      <c r="G7" s="1" t="n"/>
    </row>
    <row r="8" ht="20" customHeight="1" s="110">
      <c r="A8" s="1" t="n"/>
      <c r="B8" s="76" t="inlineStr">
        <is>
          <t>⏱</t>
        </is>
      </c>
      <c r="C8" s="12" t="inlineStr">
        <is>
          <t>Timeline / Tempo</t>
        </is>
      </c>
      <c r="D8" s="1" t="n"/>
      <c r="E8" s="76" t="inlineStr">
        <is>
          <t>🗂️</t>
        </is>
      </c>
      <c r="F8" s="12" t="inlineStr">
        <is>
          <t>Arquivo / Documentos</t>
        </is>
      </c>
      <c r="G8" s="1" t="n"/>
    </row>
    <row r="9" ht="20" customHeight="1" s="110">
      <c r="A9" s="1" t="n"/>
      <c r="B9" s="74" t="inlineStr">
        <is>
          <t>📝</t>
        </is>
      </c>
      <c r="C9" s="75" t="inlineStr">
        <is>
          <t>Notas do projeto</t>
        </is>
      </c>
      <c r="D9" s="1" t="n"/>
      <c r="E9" s="74" t="inlineStr">
        <is>
          <t>📋</t>
        </is>
      </c>
      <c r="F9" s="75" t="inlineStr">
        <is>
          <t>Lista / Checklist</t>
        </is>
      </c>
      <c r="G9" s="1" t="n"/>
    </row>
    <row r="10" ht="20" customHeight="1" s="110">
      <c r="A10" s="1" t="n"/>
      <c r="B10" s="76" t="inlineStr">
        <is>
          <t>✅</t>
        </is>
      </c>
      <c r="C10" s="12" t="inlineStr">
        <is>
          <t>Concluído / Ok</t>
        </is>
      </c>
      <c r="D10" s="1" t="n"/>
      <c r="E10" s="76" t="inlineStr">
        <is>
          <t>🔐</t>
        </is>
      </c>
      <c r="F10" s="12" t="inlineStr">
        <is>
          <t>Confidencial</t>
        </is>
      </c>
      <c r="G10" s="1" t="n"/>
    </row>
    <row r="11" ht="20" customHeight="1" s="110">
      <c r="A11" s="1" t="n"/>
      <c r="B11" s="74" t="inlineStr">
        <is>
          <t>⚠</t>
        </is>
      </c>
      <c r="C11" s="75" t="inlineStr">
        <is>
          <t>Alerta / Atenção</t>
        </is>
      </c>
      <c r="D11" s="1" t="n"/>
      <c r="E11" s="74" t="inlineStr">
        <is>
          <t>💼</t>
        </is>
      </c>
      <c r="F11" s="75" t="inlineStr">
        <is>
          <t>Negócio / Profissional</t>
        </is>
      </c>
      <c r="G11" s="1" t="n"/>
    </row>
    <row r="12" ht="20" customHeight="1" s="110">
      <c r="A12" s="1" t="n"/>
      <c r="B12" s="76" t="inlineStr">
        <is>
          <t>❌</t>
        </is>
      </c>
      <c r="C12" s="12" t="inlineStr">
        <is>
          <t>Erro / Não atendido</t>
        </is>
      </c>
      <c r="D12" s="1" t="n"/>
      <c r="E12" s="76" t="inlineStr">
        <is>
          <t>🏢</t>
        </is>
      </c>
      <c r="F12" s="12" t="inlineStr">
        <is>
          <t>Empresa / Cliente</t>
        </is>
      </c>
      <c r="G12" s="1" t="n"/>
    </row>
    <row r="13" ht="20" customHeight="1" s="110">
      <c r="A13" s="1" t="n"/>
      <c r="B13" s="74" t="inlineStr">
        <is>
          <t>🔴</t>
        </is>
      </c>
      <c r="C13" s="75" t="inlineStr">
        <is>
          <t>Crítico / Atrasado</t>
        </is>
      </c>
      <c r="D13" s="1" t="n"/>
      <c r="E13" s="74" t="inlineStr">
        <is>
          <t>📞</t>
        </is>
      </c>
      <c r="F13" s="75" t="inlineStr">
        <is>
          <t>Telefone / Contato</t>
        </is>
      </c>
      <c r="G13" s="1" t="n"/>
    </row>
    <row r="14" ht="20" customHeight="1" s="110">
      <c r="A14" s="1" t="n"/>
      <c r="B14" s="76" t="inlineStr">
        <is>
          <t>🟡</t>
        </is>
      </c>
      <c r="C14" s="12" t="inlineStr">
        <is>
          <t>Alerta / Próximo</t>
        </is>
      </c>
      <c r="D14" s="1" t="n"/>
      <c r="E14" s="76" t="inlineStr">
        <is>
          <t>🌐</t>
        </is>
      </c>
      <c r="F14" s="12" t="inlineStr">
        <is>
          <t>Internacional / Web</t>
        </is>
      </c>
      <c r="G14" s="1" t="n"/>
    </row>
    <row r="15" ht="20" customHeight="1" s="110">
      <c r="A15" s="1" t="n"/>
      <c r="B15" s="74" t="inlineStr">
        <is>
          <t>🟢</t>
        </is>
      </c>
      <c r="C15" s="75" t="inlineStr">
        <is>
          <t>Ok / Em dia</t>
        </is>
      </c>
      <c r="D15" s="1" t="n"/>
      <c r="E15" s="74" t="inlineStr">
        <is>
          <t>💰</t>
        </is>
      </c>
      <c r="F15" s="75" t="inlineStr">
        <is>
          <t>Financeiro</t>
        </is>
      </c>
      <c r="G15" s="1" t="n"/>
    </row>
    <row r="16" ht="20" customHeight="1" s="110">
      <c r="A16" s="1" t="n"/>
      <c r="B16" s="76" t="inlineStr">
        <is>
          <t>🔵</t>
        </is>
      </c>
      <c r="C16" s="12" t="inlineStr">
        <is>
          <t>Em andamento</t>
        </is>
      </c>
      <c r="D16" s="1" t="n"/>
      <c r="E16" s="76" t="inlineStr">
        <is>
          <t>⚙️</t>
        </is>
      </c>
      <c r="F16" s="12" t="inlineStr">
        <is>
          <t>Configuração</t>
        </is>
      </c>
      <c r="G16" s="1" t="n"/>
    </row>
    <row r="17" ht="20" customHeight="1" s="110">
      <c r="A17" s="1" t="n"/>
      <c r="B17" s="74" t="inlineStr">
        <is>
          <t>⏳</t>
        </is>
      </c>
      <c r="C17" s="75" t="inlineStr">
        <is>
          <t>Aguardando</t>
        </is>
      </c>
      <c r="D17" s="1" t="n"/>
      <c r="E17" s="74" t="inlineStr">
        <is>
          <t>🔧</t>
        </is>
      </c>
      <c r="F17" s="75" t="inlineStr">
        <is>
          <t>Ajuste / Manutenção</t>
        </is>
      </c>
      <c r="G17" s="1" t="n"/>
    </row>
    <row r="18" ht="20" customHeight="1" s="110">
      <c r="A18" s="1" t="n"/>
      <c r="B18" s="76" t="inlineStr">
        <is>
          <t>📧</t>
        </is>
      </c>
      <c r="C18" s="12" t="inlineStr">
        <is>
          <t>E-mail</t>
        </is>
      </c>
      <c r="D18" s="1" t="n"/>
      <c r="E18" s="76" t="inlineStr">
        <is>
          <t>📐</t>
        </is>
      </c>
      <c r="F18" s="12" t="inlineStr">
        <is>
          <t>Análise / Métricas</t>
        </is>
      </c>
      <c r="G18" s="1" t="n"/>
    </row>
    <row r="19" ht="20" customHeight="1" s="110">
      <c r="A19" s="1" t="n"/>
      <c r="B19" s="74" t="inlineStr">
        <is>
          <t>🚨</t>
        </is>
      </c>
      <c r="C19" s="75" t="inlineStr">
        <is>
          <t>Urgente</t>
        </is>
      </c>
      <c r="D19" s="1" t="n"/>
      <c r="E19" s="74" t="inlineStr">
        <is>
          <t>🎓</t>
        </is>
      </c>
      <c r="F19" s="75" t="inlineStr">
        <is>
          <t>Especialização</t>
        </is>
      </c>
      <c r="G19" s="1" t="n"/>
    </row>
    <row r="20" ht="20" customHeight="1" s="110">
      <c r="A20" s="1" t="n"/>
      <c r="B20" s="76" t="inlineStr">
        <is>
          <t>▼</t>
        </is>
      </c>
      <c r="C20" s="12" t="inlineStr">
        <is>
          <t>Expandir</t>
        </is>
      </c>
      <c r="D20" s="1" t="n"/>
      <c r="E20" s="76" t="inlineStr">
        <is>
          <t>🤝</t>
        </is>
      </c>
      <c r="F20" s="12" t="inlineStr">
        <is>
          <t>Acordo / Parceria</t>
        </is>
      </c>
      <c r="G20" s="1" t="n"/>
    </row>
    <row r="21" ht="20" customHeight="1" s="110">
      <c r="A21" s="1" t="n"/>
      <c r="B21" s="74" t="inlineStr">
        <is>
          <t>▶</t>
        </is>
      </c>
      <c r="C21" s="75" t="inlineStr">
        <is>
          <t>Recolher</t>
        </is>
      </c>
      <c r="D21" s="1" t="n"/>
      <c r="E21" s="74" t="inlineStr">
        <is>
          <t>📜</t>
        </is>
      </c>
      <c r="F21" s="75" t="inlineStr">
        <is>
          <t>Regulatório / Legal</t>
        </is>
      </c>
      <c r="G21" s="1" t="n"/>
    </row>
    <row r="22" ht="20" customHeight="1" s="110">
      <c r="A22" s="1" t="n"/>
      <c r="B22" s="76" t="inlineStr">
        <is>
          <t>↳</t>
        </is>
      </c>
      <c r="C22" s="12" t="inlineStr">
        <is>
          <t>Sub-item / Tarefa</t>
        </is>
      </c>
      <c r="D22" s="1" t="n"/>
      <c r="E22" s="76" t="inlineStr">
        <is>
          <t>🌟</t>
        </is>
      </c>
      <c r="F22" s="12" t="inlineStr">
        <is>
          <t>Destaque / Premium</t>
        </is>
      </c>
      <c r="G22" s="1" t="n"/>
    </row>
    <row r="23" ht="20" customHeight="1" s="110">
      <c r="A23" s="1" t="n"/>
      <c r="B23" s="74" t="inlineStr">
        <is>
          <t>⚡</t>
        </is>
      </c>
      <c r="C23" s="75" t="inlineStr">
        <is>
          <t>Entregável Final / Crítico</t>
        </is>
      </c>
      <c r="D23" s="1" t="n"/>
      <c r="E23" s="74" t="inlineStr">
        <is>
          <t>🚀</t>
        </is>
      </c>
      <c r="F23" s="75" t="inlineStr">
        <is>
          <t>Lançamento</t>
        </is>
      </c>
      <c r="G23" s="1" t="n"/>
    </row>
    <row r="24" ht="20" customHeight="1" s="110">
      <c r="A24" s="1" t="n"/>
      <c r="B24" s="76" t="inlineStr">
        <is>
          <t>🔗</t>
        </is>
      </c>
      <c r="C24" s="12" t="inlineStr">
        <is>
          <t>Link / Navegação</t>
        </is>
      </c>
      <c r="D24" s="1" t="n"/>
      <c r="E24" s="76" t="inlineStr">
        <is>
          <t>🛡️</t>
        </is>
      </c>
      <c r="F24" s="12" t="inlineStr">
        <is>
          <t>Proteção / Compliance</t>
        </is>
      </c>
      <c r="G24" s="1" t="n"/>
    </row>
    <row r="25" ht="20" customHeight="1" s="110">
      <c r="A25" s="1" t="n"/>
      <c r="B25" s="74" t="inlineStr">
        <is>
          <t>➕</t>
        </is>
      </c>
      <c r="C25" s="75" t="inlineStr">
        <is>
          <t>Adicionar</t>
        </is>
      </c>
      <c r="D25" s="1" t="n"/>
      <c r="E25" s="74" t="inlineStr">
        <is>
          <t>📊</t>
        </is>
      </c>
      <c r="F25" s="75" t="inlineStr">
        <is>
          <t>Gráfico de barras</t>
        </is>
      </c>
      <c r="G25" s="1" t="n"/>
    </row>
    <row r="26" ht="20" customHeight="1" s="110">
      <c r="A26" s="1" t="n"/>
      <c r="B26" s="76" t="inlineStr">
        <is>
          <t>🗑️</t>
        </is>
      </c>
      <c r="C26" s="12" t="inlineStr">
        <is>
          <t>Deletar</t>
        </is>
      </c>
      <c r="D26" s="1" t="n"/>
      <c r="E26" s="76" t="inlineStr">
        <is>
          <t>🔄</t>
        </is>
      </c>
      <c r="F26" s="12" t="inlineStr">
        <is>
          <t>Sincronização</t>
        </is>
      </c>
      <c r="G26" s="1" t="n"/>
    </row>
    <row r="27" ht="20" customHeight="1" s="110">
      <c r="A27" s="1" t="n"/>
      <c r="B27" s="74" t="inlineStr">
        <is>
          <t>↩️</t>
        </is>
      </c>
      <c r="C27" s="75" t="inlineStr">
        <is>
          <t>Restaurar</t>
        </is>
      </c>
      <c r="D27" s="1" t="n"/>
      <c r="E27" s="74" t="inlineStr">
        <is>
          <t>⏰</t>
        </is>
      </c>
      <c r="F27" s="75" t="inlineStr">
        <is>
          <t>Prazo / Urgência</t>
        </is>
      </c>
      <c r="G27" s="1" t="n"/>
    </row>
    <row r="28" ht="20" customHeight="1" s="110">
      <c r="A28" s="1" t="n"/>
      <c r="B28" s="76" t="inlineStr">
        <is>
          <t>🔍</t>
        </is>
      </c>
      <c r="C28" s="12" t="inlineStr">
        <is>
          <t>Filtrar / Buscar</t>
        </is>
      </c>
      <c r="D28" s="1" t="n"/>
      <c r="E28" s="76" t="inlineStr">
        <is>
          <t>📩</t>
        </is>
      </c>
      <c r="F28" s="12" t="inlineStr">
        <is>
          <t>Recebido</t>
        </is>
      </c>
      <c r="G28" s="1" t="n"/>
    </row>
    <row r="29" ht="20" customHeight="1" s="110">
      <c r="A29" s="1" t="n"/>
      <c r="B29" s="74" t="inlineStr">
        <is>
          <t>📅</t>
        </is>
      </c>
      <c r="C29" s="75" t="inlineStr">
        <is>
          <t>Calendário / Data</t>
        </is>
      </c>
      <c r="D29" s="1" t="n"/>
      <c r="E29" s="74" t="inlineStr">
        <is>
          <t>📤</t>
        </is>
      </c>
      <c r="F29" s="75" t="inlineStr">
        <is>
          <t>Enviado</t>
        </is>
      </c>
      <c r="G29" s="1" t="n"/>
    </row>
    <row r="30" ht="20" customHeight="1" s="110">
      <c r="A30" s="1" t="n"/>
      <c r="B30" s="76" t="inlineStr">
        <is>
          <t>👤</t>
        </is>
      </c>
      <c r="C30" s="12" t="inlineStr">
        <is>
          <t>Pessoa / Responsável</t>
        </is>
      </c>
      <c r="D30" s="1" t="n"/>
      <c r="E30" s="76" t="inlineStr">
        <is>
          <t>📥</t>
        </is>
      </c>
      <c r="F30" s="12" t="inlineStr">
        <is>
          <t>A receber</t>
        </is>
      </c>
      <c r="G30" s="1" t="n"/>
    </row>
    <row r="31" ht="20" customHeight="1" s="110">
      <c r="A31" s="1" t="n"/>
      <c r="B31" s="74" t="inlineStr">
        <is>
          <t>🏁</t>
        </is>
      </c>
      <c r="C31" s="75" t="inlineStr">
        <is>
          <t>Prazo Final</t>
        </is>
      </c>
      <c r="D31" s="1" t="n"/>
      <c r="E31" s="74" t="inlineStr">
        <is>
          <t>🧩</t>
        </is>
      </c>
      <c r="F31" s="75" t="inlineStr">
        <is>
          <t>Integração</t>
        </is>
      </c>
      <c r="G31" s="1" t="n"/>
    </row>
    <row r="32" ht="20" customHeight="1" s="110">
      <c r="A32" s="1" t="n"/>
      <c r="B32" s="76" t="inlineStr">
        <is>
          <t>📌</t>
        </is>
      </c>
      <c r="C32" s="12" t="inlineStr">
        <is>
          <t>Fixado / Importante</t>
        </is>
      </c>
      <c r="D32" s="1" t="n"/>
      <c r="E32" s="76" t="inlineStr">
        <is>
          <t>💎</t>
        </is>
      </c>
      <c r="F32" s="12" t="inlineStr">
        <is>
          <t>Alta prioridade</t>
        </is>
      </c>
      <c r="G32" s="1" t="n"/>
    </row>
    <row r="33" ht="20" customHeight="1" s="110">
      <c r="A33" s="1" t="n"/>
      <c r="B33" s="74" t="inlineStr">
        <is>
          <t>💡</t>
        </is>
      </c>
      <c r="C33" s="75" t="inlineStr">
        <is>
          <t>Ideia / Sugestão</t>
        </is>
      </c>
      <c r="D33" s="1" t="n"/>
      <c r="E33" s="74" t="inlineStr">
        <is>
          <t>🔑</t>
        </is>
      </c>
      <c r="F33" s="75" t="inlineStr">
        <is>
          <t>Acesso / Permissão</t>
        </is>
      </c>
      <c r="G33" s="1" t="n"/>
    </row>
    <row r="34" ht="20" customHeight="1" s="110">
      <c r="A34" s="1" t="n"/>
      <c r="B34" s="76" t="inlineStr">
        <is>
          <t>🔔</t>
        </is>
      </c>
      <c r="C34" s="12" t="inlineStr">
        <is>
          <t>Notificação / Lembrete</t>
        </is>
      </c>
      <c r="D34" s="1" t="n"/>
      <c r="E34" s="76" t="inlineStr">
        <is>
          <t>📍</t>
        </is>
      </c>
      <c r="F34" s="12" t="inlineStr">
        <is>
          <t>Localização / Marco</t>
        </is>
      </c>
      <c r="G34" s="1" t="n"/>
    </row>
    <row r="35">
      <c r="A35" s="1" t="n"/>
      <c r="B35" s="1" t="n"/>
      <c r="C35" s="1" t="n"/>
      <c r="D35" s="1" t="n"/>
      <c r="E35" s="1" t="n"/>
      <c r="F35" s="1" t="n"/>
      <c r="G35" s="1" t="n"/>
    </row>
    <row r="36">
      <c r="A36" s="1" t="n"/>
      <c r="B36" s="1" t="n"/>
      <c r="C36" s="1" t="n"/>
      <c r="D36" s="1" t="n"/>
      <c r="E36" s="1" t="n"/>
      <c r="F36" s="1" t="n"/>
      <c r="G36" s="1" t="n"/>
    </row>
    <row r="37" ht="26" customHeight="1" s="110">
      <c r="A37" s="1" t="n"/>
      <c r="B37" s="149" t="inlineStr">
        <is>
          <t xml:space="preserve">  🎨 SISTEMA DE CORES — STATUS GERAL (por deliverable)</t>
        </is>
      </c>
      <c r="G37" s="1" t="n"/>
    </row>
    <row r="38" ht="20" customHeight="1" s="110">
      <c r="A38" s="1" t="n"/>
      <c r="B38" s="173" t="inlineStr">
        <is>
          <t>To Do - ECF</t>
        </is>
      </c>
      <c r="D38" s="1" t="n"/>
      <c r="E38" s="1" t="n"/>
      <c r="F38" s="1" t="n"/>
      <c r="G38" s="1" t="n"/>
    </row>
    <row r="39" ht="20" customHeight="1" s="110">
      <c r="A39" s="1" t="n"/>
      <c r="B39" s="184" t="inlineStr">
        <is>
          <t>Doing - ECF</t>
        </is>
      </c>
      <c r="D39" s="1" t="n"/>
      <c r="E39" s="1" t="n"/>
      <c r="F39" s="1" t="n"/>
      <c r="G39" s="1" t="n"/>
    </row>
    <row r="40" ht="20" customHeight="1" s="110">
      <c r="A40" s="1" t="n"/>
      <c r="B40" s="175" t="inlineStr">
        <is>
          <t>Done - ECF</t>
        </is>
      </c>
      <c r="D40" s="1" t="n"/>
      <c r="E40" s="1" t="n"/>
      <c r="F40" s="1" t="n"/>
      <c r="G40" s="1" t="n"/>
    </row>
    <row r="41" ht="20" customHeight="1" s="110">
      <c r="A41" s="1" t="n"/>
      <c r="B41" s="181" t="inlineStr">
        <is>
          <t>Waiting - ECF</t>
        </is>
      </c>
      <c r="D41" s="1" t="n"/>
      <c r="E41" s="1" t="n"/>
      <c r="F41" s="1" t="n"/>
      <c r="G41" s="1" t="n"/>
    </row>
    <row r="42" ht="20" customHeight="1" s="110">
      <c r="A42" s="1" t="n"/>
      <c r="B42" s="187" t="inlineStr">
        <is>
          <t>To Do - LF</t>
        </is>
      </c>
      <c r="D42" s="1" t="n"/>
      <c r="E42" s="1" t="n"/>
      <c r="F42" s="1" t="n"/>
      <c r="G42" s="1" t="n"/>
    </row>
    <row r="43" ht="20" customHeight="1" s="110">
      <c r="A43" s="1" t="n"/>
      <c r="B43" s="192" t="inlineStr">
        <is>
          <t>Doing - LF</t>
        </is>
      </c>
      <c r="D43" s="1" t="n"/>
      <c r="E43" s="1" t="n"/>
      <c r="F43" s="1" t="n"/>
      <c r="G43" s="1" t="n"/>
    </row>
    <row r="44" ht="20" customHeight="1" s="110">
      <c r="A44" s="1" t="n"/>
      <c r="B44" s="174" t="inlineStr">
        <is>
          <t>Done - LF</t>
        </is>
      </c>
      <c r="D44" s="1" t="n"/>
      <c r="E44" s="1" t="n"/>
      <c r="F44" s="1" t="n"/>
      <c r="G44" s="1" t="n"/>
    </row>
    <row r="45" ht="20" customHeight="1" s="110">
      <c r="A45" s="1" t="n"/>
      <c r="B45" s="179" t="inlineStr">
        <is>
          <t>Waiting - LF</t>
        </is>
      </c>
      <c r="D45" s="1" t="n"/>
      <c r="E45" s="1" t="n"/>
      <c r="F45" s="1" t="n"/>
      <c r="G45" s="1" t="n"/>
    </row>
    <row r="46" ht="20" customHeight="1" s="110">
      <c r="A46" s="1" t="n"/>
      <c r="B46" s="190" t="inlineStr">
        <is>
          <t>To Do - Memo</t>
        </is>
      </c>
      <c r="D46" s="1" t="n"/>
      <c r="E46" s="1" t="n"/>
      <c r="F46" s="1" t="n"/>
      <c r="G46" s="1" t="n"/>
    </row>
    <row r="47" ht="20" customHeight="1" s="110">
      <c r="A47" s="1" t="n"/>
      <c r="B47" s="188" t="inlineStr">
        <is>
          <t>Doing - Memo</t>
        </is>
      </c>
      <c r="D47" s="1" t="n"/>
      <c r="E47" s="1" t="n"/>
      <c r="F47" s="1" t="n"/>
      <c r="G47" s="1" t="n"/>
    </row>
    <row r="48" ht="20" customHeight="1" s="110">
      <c r="A48" s="1" t="n"/>
      <c r="B48" s="186" t="inlineStr">
        <is>
          <t>Done - Memo</t>
        </is>
      </c>
      <c r="D48" s="1" t="n"/>
      <c r="E48" s="1" t="n"/>
      <c r="F48" s="1" t="n"/>
      <c r="G48" s="1" t="n"/>
    </row>
    <row r="49" ht="20" customHeight="1" s="110">
      <c r="A49" s="1" t="n"/>
      <c r="B49" s="176" t="inlineStr">
        <is>
          <t>Waiting - Memo</t>
        </is>
      </c>
      <c r="D49" s="1" t="n"/>
      <c r="E49" s="1" t="n"/>
      <c r="F49" s="1" t="n"/>
      <c r="G49" s="1" t="n"/>
    </row>
    <row r="50" ht="20" customHeight="1" s="110">
      <c r="A50" s="1" t="n"/>
      <c r="B50" s="180" t="inlineStr">
        <is>
          <t>To Do - Bench</t>
        </is>
      </c>
      <c r="D50" s="1" t="n"/>
      <c r="E50" s="1" t="n"/>
      <c r="F50" s="1" t="n"/>
      <c r="G50" s="1" t="n"/>
    </row>
    <row r="51" ht="20" customHeight="1" s="110">
      <c r="A51" s="1" t="n"/>
      <c r="B51" s="178" t="inlineStr">
        <is>
          <t>Doing - Bench</t>
        </is>
      </c>
      <c r="D51" s="1" t="n"/>
      <c r="E51" s="1" t="n"/>
      <c r="F51" s="1" t="n"/>
      <c r="G51" s="1" t="n"/>
    </row>
    <row r="52" ht="20" customHeight="1" s="110">
      <c r="A52" s="1" t="n"/>
      <c r="B52" s="185" t="inlineStr">
        <is>
          <t>Done - Bench</t>
        </is>
      </c>
      <c r="D52" s="1" t="n"/>
      <c r="E52" s="1" t="n"/>
      <c r="F52" s="1" t="n"/>
      <c r="G52" s="1" t="n"/>
    </row>
    <row r="53" ht="20" customHeight="1" s="110">
      <c r="A53" s="1" t="n"/>
      <c r="B53" s="172" t="inlineStr">
        <is>
          <t>Waiting - Bench</t>
        </is>
      </c>
      <c r="D53" s="1" t="n"/>
      <c r="E53" s="1" t="n"/>
      <c r="F53" s="1" t="n"/>
      <c r="G53" s="1" t="n"/>
    </row>
    <row r="54" ht="20" customHeight="1" s="110">
      <c r="A54" s="1" t="n"/>
      <c r="B54" s="189" t="inlineStr">
        <is>
          <t>To Do - MF</t>
        </is>
      </c>
      <c r="D54" s="1" t="n"/>
      <c r="E54" s="1" t="n"/>
      <c r="F54" s="1" t="n"/>
      <c r="G54" s="1" t="n"/>
    </row>
    <row r="55" ht="20" customHeight="1" s="110">
      <c r="A55" s="1" t="n"/>
      <c r="B55" s="177" t="inlineStr">
        <is>
          <t>Doing - MF</t>
        </is>
      </c>
      <c r="D55" s="1" t="n"/>
      <c r="E55" s="1" t="n"/>
      <c r="F55" s="1" t="n"/>
      <c r="G55" s="1" t="n"/>
    </row>
    <row r="56" ht="20" customHeight="1" s="110">
      <c r="A56" s="1" t="n"/>
      <c r="B56" s="191" t="inlineStr">
        <is>
          <t>Done - MF</t>
        </is>
      </c>
      <c r="D56" s="1" t="n"/>
      <c r="E56" s="1" t="n"/>
      <c r="F56" s="1" t="n"/>
      <c r="G56" s="1" t="n"/>
    </row>
    <row r="57" ht="20" customHeight="1" s="110">
      <c r="A57" s="1" t="n"/>
      <c r="B57" s="171" t="inlineStr">
        <is>
          <t>Waiting - MF</t>
        </is>
      </c>
      <c r="D57" s="1" t="n"/>
      <c r="E57" s="1" t="n"/>
      <c r="F57" s="1" t="n"/>
      <c r="G57" s="1" t="n"/>
    </row>
    <row r="58" ht="20" customHeight="1" s="110">
      <c r="A58" s="1" t="n"/>
      <c r="B58" s="183" t="inlineStr">
        <is>
          <t>N/A</t>
        </is>
      </c>
      <c r="D58" s="1" t="n"/>
      <c r="E58" s="1" t="n"/>
      <c r="F58" s="1" t="n"/>
      <c r="G58" s="1" t="n"/>
    </row>
    <row r="59">
      <c r="A59" s="1" t="n"/>
      <c r="B59" s="1" t="n"/>
      <c r="C59" s="1" t="n"/>
      <c r="D59" s="1" t="n"/>
      <c r="E59" s="1" t="n"/>
      <c r="F59" s="1" t="n"/>
      <c r="G59" s="1" t="n"/>
    </row>
    <row r="60">
      <c r="A60" s="1" t="n"/>
      <c r="B60" s="1" t="n"/>
      <c r="C60" s="1" t="n"/>
      <c r="D60" s="1" t="n"/>
      <c r="E60" s="1" t="n"/>
      <c r="F60" s="1" t="n"/>
      <c r="G60" s="1" t="n"/>
    </row>
    <row r="61">
      <c r="A61" s="1" t="n"/>
      <c r="B61" s="1" t="n"/>
      <c r="C61" s="1" t="n"/>
      <c r="D61" s="1" t="n"/>
      <c r="E61" s="1" t="n"/>
      <c r="F61" s="1" t="n"/>
      <c r="G61" s="1" t="n"/>
    </row>
    <row r="62">
      <c r="A62" s="1" t="n"/>
      <c r="B62" s="1" t="n"/>
      <c r="C62" s="1" t="n"/>
      <c r="D62" s="1" t="n"/>
      <c r="E62" s="1" t="n"/>
      <c r="F62" s="1" t="n"/>
      <c r="G62" s="1" t="n"/>
    </row>
    <row r="63">
      <c r="A63" s="1" t="n"/>
      <c r="B63" s="1" t="n"/>
      <c r="C63" s="1" t="n"/>
      <c r="D63" s="1" t="n"/>
      <c r="E63" s="1" t="n"/>
      <c r="F63" s="1" t="n"/>
      <c r="G63" s="1" t="n"/>
    </row>
    <row r="64">
      <c r="A64" s="1" t="n"/>
      <c r="B64" s="1" t="n"/>
      <c r="C64" s="1" t="n"/>
      <c r="D64" s="1" t="n"/>
      <c r="E64" s="1" t="n"/>
      <c r="F64" s="1" t="n"/>
      <c r="G64" s="1" t="n"/>
    </row>
    <row r="65">
      <c r="A65" s="1" t="n"/>
      <c r="B65" s="1" t="n"/>
      <c r="C65" s="1" t="n"/>
      <c r="D65" s="1" t="n"/>
      <c r="E65" s="1" t="n"/>
      <c r="F65" s="1" t="n"/>
      <c r="G65" s="1" t="n"/>
    </row>
    <row r="66">
      <c r="A66" s="1" t="n"/>
      <c r="B66" s="1" t="n"/>
      <c r="C66" s="1" t="n"/>
      <c r="D66" s="1" t="n"/>
      <c r="E66" s="1" t="n"/>
      <c r="F66" s="1" t="n"/>
      <c r="G66" s="1" t="n"/>
    </row>
    <row r="67">
      <c r="A67" s="1" t="n"/>
      <c r="B67" s="1" t="n"/>
      <c r="C67" s="1" t="n"/>
      <c r="D67" s="1" t="n"/>
      <c r="E67" s="1" t="n"/>
      <c r="F67" s="1" t="n"/>
      <c r="G67" s="1" t="n"/>
    </row>
    <row r="68">
      <c r="A68" s="1" t="n"/>
      <c r="B68" s="1" t="n"/>
      <c r="C68" s="1" t="n"/>
      <c r="D68" s="1" t="n"/>
      <c r="E68" s="1" t="n"/>
      <c r="F68" s="1" t="n"/>
      <c r="G68" s="1" t="n"/>
    </row>
    <row r="69">
      <c r="A69" s="1" t="n"/>
      <c r="B69" s="1" t="n"/>
      <c r="C69" s="1" t="n"/>
      <c r="D69" s="1" t="n"/>
      <c r="E69" s="1" t="n"/>
      <c r="F69" s="1" t="n"/>
      <c r="G69" s="1" t="n"/>
    </row>
    <row r="70">
      <c r="A70" s="1" t="n"/>
      <c r="B70" s="1" t="n"/>
      <c r="C70" s="1" t="n"/>
      <c r="D70" s="1" t="n"/>
      <c r="E70" s="1" t="n"/>
      <c r="F70" s="1" t="n"/>
      <c r="G70" s="1" t="n"/>
    </row>
    <row r="71">
      <c r="A71" s="1" t="n"/>
      <c r="B71" s="1" t="n"/>
      <c r="C71" s="1" t="n"/>
      <c r="D71" s="1" t="n"/>
      <c r="E71" s="1" t="n"/>
      <c r="F71" s="1" t="n"/>
      <c r="G71" s="1" t="n"/>
    </row>
    <row r="72">
      <c r="A72" s="1" t="n"/>
      <c r="B72" s="1" t="n"/>
      <c r="C72" s="1" t="n"/>
      <c r="D72" s="1" t="n"/>
      <c r="E72" s="1" t="n"/>
      <c r="F72" s="1" t="n"/>
      <c r="G72" s="1" t="n"/>
    </row>
    <row r="73">
      <c r="A73" s="1" t="n"/>
      <c r="B73" s="1" t="n"/>
      <c r="C73" s="1" t="n"/>
      <c r="D73" s="1" t="n"/>
      <c r="E73" s="1" t="n"/>
      <c r="F73" s="1" t="n"/>
      <c r="G73" s="1" t="n"/>
    </row>
    <row r="74">
      <c r="A74" s="1" t="n"/>
      <c r="B74" s="1" t="n"/>
      <c r="C74" s="1" t="n"/>
      <c r="D74" s="1" t="n"/>
      <c r="E74" s="1" t="n"/>
      <c r="F74" s="1" t="n"/>
      <c r="G74" s="1" t="n"/>
    </row>
    <row r="75">
      <c r="A75" s="1" t="n"/>
      <c r="B75" s="1" t="n"/>
      <c r="C75" s="1" t="n"/>
      <c r="D75" s="1" t="n"/>
      <c r="E75" s="1" t="n"/>
      <c r="F75" s="1" t="n"/>
      <c r="G75" s="1" t="n"/>
    </row>
    <row r="76">
      <c r="A76" s="1" t="n"/>
      <c r="B76" s="1" t="n"/>
      <c r="C76" s="1" t="n"/>
      <c r="D76" s="1" t="n"/>
      <c r="E76" s="1" t="n"/>
      <c r="F76" s="1" t="n"/>
      <c r="G76" s="1" t="n"/>
    </row>
    <row r="77">
      <c r="A77" s="1" t="n"/>
      <c r="B77" s="1" t="n"/>
      <c r="C77" s="1" t="n"/>
      <c r="D77" s="1" t="n"/>
      <c r="E77" s="1" t="n"/>
      <c r="F77" s="1" t="n"/>
      <c r="G77" s="1" t="n"/>
    </row>
    <row r="78">
      <c r="A78" s="1" t="n"/>
      <c r="B78" s="1" t="n"/>
      <c r="C78" s="1" t="n"/>
      <c r="D78" s="1" t="n"/>
      <c r="E78" s="1" t="n"/>
      <c r="F78" s="1" t="n"/>
      <c r="G78" s="1" t="n"/>
    </row>
    <row r="79">
      <c r="A79" s="1" t="n"/>
      <c r="B79" s="1" t="n"/>
      <c r="C79" s="1" t="n"/>
      <c r="D79" s="1" t="n"/>
      <c r="E79" s="1" t="n"/>
      <c r="F79" s="1" t="n"/>
      <c r="G79" s="1" t="n"/>
    </row>
  </sheetData>
  <mergeCells count="25">
    <mergeCell ref="B47:C47"/>
    <mergeCell ref="B54:C54"/>
    <mergeCell ref="B3:C3"/>
    <mergeCell ref="B46:C46"/>
    <mergeCell ref="B56:C56"/>
    <mergeCell ref="B43:C43"/>
    <mergeCell ref="B58:C58"/>
    <mergeCell ref="B39:C39"/>
    <mergeCell ref="B52:C52"/>
    <mergeCell ref="B48:C48"/>
    <mergeCell ref="B42:C42"/>
    <mergeCell ref="B1:F1"/>
    <mergeCell ref="B57:C57"/>
    <mergeCell ref="B53:C53"/>
    <mergeCell ref="B38:C38"/>
    <mergeCell ref="B44:C44"/>
    <mergeCell ref="B37:F37"/>
    <mergeCell ref="B40:C40"/>
    <mergeCell ref="B49:C49"/>
    <mergeCell ref="B55:C55"/>
    <mergeCell ref="B51:C51"/>
    <mergeCell ref="B45:C45"/>
    <mergeCell ref="B50:C50"/>
    <mergeCell ref="B41:C41"/>
    <mergeCell ref="E3:F3"/>
  </mergeCells>
  <pageMargins left="0.75" right="0.75" top="1" bottom="1" header="0.5" footer="0.5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B2:B21"/>
  <sheetViews>
    <sheetView workbookViewId="0">
      <selection activeCell="A1" sqref="A1"/>
    </sheetView>
  </sheetViews>
  <sheetFormatPr baseColWidth="8" defaultRowHeight="15"/>
  <cols>
    <col width="100" customWidth="1" style="110" min="2" max="2"/>
  </cols>
  <sheetData>
    <row r="2">
      <c r="B2" s="220" t="inlineStr">
        <is>
          <t>DOCUMENTAÇÃO DE FÓRMULAS DO DASHBOARD</t>
        </is>
      </c>
    </row>
    <row r="4">
      <c r="B4" s="221" t="inlineStr">
        <is>
          <t>1. Como extrair uma lista única de projetos (1 Linha por Projeto)</t>
        </is>
      </c>
    </row>
    <row r="5">
      <c r="B5" s="222">
        <f>UNIQUE(FILTER(AC2025!$B$6:$B$500, AC2025!$B$6:$B$500&lt;&gt;""))</f>
        <v/>
      </c>
    </row>
    <row r="6">
      <c r="B6" s="223" t="inlineStr">
        <is>
          <t>A função FILTER remove as células vazias, e a UNIQUE garante que o nome do projeto apareça apenas 1 vez, mesmo que ele ocupe 10 linhas na aba AC2025.</t>
        </is>
      </c>
    </row>
    <row r="9">
      <c r="B9" s="221" t="inlineStr">
        <is>
          <t>2. Como buscar o Status da ECF (ou qualquer outro) para aquele projeto</t>
        </is>
      </c>
    </row>
    <row r="10">
      <c r="B10" s="222">
        <f>XLOOKUP($B15, AC2025!$B$6:$B$500, AC2025!$N$6:$N$500, "-")</f>
        <v/>
      </c>
    </row>
    <row r="11">
      <c r="B11" s="223" t="inlineStr">
        <is>
          <t>O XLOOKUP (PROCX) procura o nome do projeto na coluna B da AC2025, e retorna o valor que estiver na mesma linha na coluna N (Status ECF).</t>
        </is>
      </c>
    </row>
    <row r="14">
      <c r="B14" s="221" t="inlineStr">
        <is>
          <t>3. Como criar um link mágico para ir direto para o projeto</t>
        </is>
      </c>
    </row>
    <row r="15">
      <c r="B15" s="222">
        <f>HYPERLINK("#'AC2025'!B" &amp; MATCH($B15, AC2025!$B$1:$B$500, 0), "Acessar ↗")</f>
        <v/>
      </c>
    </row>
    <row r="16">
      <c r="B16" s="223" t="inlineStr">
        <is>
          <t>A função MATCH acha em qual linha da AC2025 o projeto começa. O HYPERLINK cria um link clicável interno.</t>
        </is>
      </c>
    </row>
    <row r="19">
      <c r="B19" s="221" t="inlineStr">
        <is>
          <t>4. Como contar quantas Pendências estão abertas</t>
        </is>
      </c>
    </row>
    <row r="20">
      <c r="B20" s="222">
        <f>COUNTIFS(AC2025!$B$6:$B$500, $B15, AC2025!$AT$6:$AT$500, "&lt;&gt;● Concluído", AC2025!$AT$6:$AT$500, "&lt;&gt;")</f>
        <v/>
      </c>
    </row>
    <row r="21">
      <c r="B21" s="223" t="inlineStr">
        <is>
          <t>A função COUNTIFS (CONT.SES) conta as linhas baseadas em múltiplos critérios.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2026-08-20T11:35:36Z</dcterms:created>
  <dcterms:modified xmlns:dcterms="http://purl.org/dc/terms/" xmlns:xsi="http://www.w3.org/2001/XMLSchema-instance" xsi:type="dcterms:W3CDTF">2026-08-26T14:35:11Z</dcterms:modified>
  <cp:lastModifiedBy>softwave105</cp:lastModifiedBy>
</cp:coreProperties>
</file>